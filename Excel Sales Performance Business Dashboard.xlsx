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DF3E7567-DBF4-4930-86CF-AE9D5DC49C8D}" xr6:coauthVersionLast="47" xr6:coauthVersionMax="47" xr10:uidLastSave="{00000000-0000-0000-0000-000000000000}"/>
  <bookViews>
    <workbookView xWindow="-110" yWindow="-110" windowWidth="19420" windowHeight="10560" activeTab="1" xr2:uid="{00000000-000D-0000-FFFF-FFFF00000000}"/>
  </bookViews>
  <sheets>
    <sheet name="Business Data Set" sheetId="1" r:id="rId1"/>
    <sheet name="Pivot Analysis" sheetId="2" r:id="rId2"/>
    <sheet name="Dashboard" sheetId="3" r:id="rId3"/>
    <sheet name="KPI Piviots" sheetId="4" r:id="rId4"/>
  </sheets>
  <definedNames>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84" i="1" l="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I4" i="3"/>
  <c r="G4" i="3"/>
  <c r="E4" i="3"/>
  <c r="I186" i="1" l="1"/>
  <c r="I185" i="1"/>
</calcChain>
</file>

<file path=xl/sharedStrings.xml><?xml version="1.0" encoding="utf-8"?>
<sst xmlns="http://schemas.openxmlformats.org/spreadsheetml/2006/main" count="1504" uniqueCount="249">
  <si>
    <t>Order_ID</t>
  </si>
  <si>
    <t>Order_Date</t>
  </si>
  <si>
    <t>Region</t>
  </si>
  <si>
    <t>City</t>
  </si>
  <si>
    <t>Sales_Channel</t>
  </si>
  <si>
    <t>Customer_Type</t>
  </si>
  <si>
    <t>Product_Category</t>
  </si>
  <si>
    <t>Product_Name</t>
  </si>
  <si>
    <t>Quantity</t>
  </si>
  <si>
    <t>Sales_Amount</t>
  </si>
  <si>
    <t>Cost_Amount</t>
  </si>
  <si>
    <t>Salesperson</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</si>
  <si>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</si>
  <si>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</si>
  <si>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</si>
  <si>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</si>
  <si>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</si>
  <si>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</si>
  <si>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</si>
  <si>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</si>
  <si>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</si>
  <si>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</si>
  <si>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</si>
  <si>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</si>
  <si>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</si>
  <si>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</si>
  <si>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</si>
  <si>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</si>
  <si>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</si>
  <si>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</si>
  <si>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</si>
  <si>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</si>
  <si>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</si>
  <si>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</si>
  <si>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</si>
  <si>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</si>
  <si>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</si>
  <si>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</si>
  <si>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</si>
  <si>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</si>
  <si>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</si>
  <si>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</si>
  <si>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</si>
  <si>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</si>
  <si>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</si>
  <si>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</si>
  <si>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</si>
  <si>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</si>
  <si>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</si>
  <si>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</si>
  <si>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</si>
  <si>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</si>
  <si>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</si>
  <si>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</si>
  <si>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</si>
  <si>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</si>
  <si>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</si>
  <si>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</si>
  <si>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</si>
  <si>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</si>
  <si>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</si>
  <si>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</si>
  <si>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</si>
  <si>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</si>
  <si>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</si>
  <si>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</si>
  <si>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</si>
  <si>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</si>
  <si>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</si>
  <si>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</si>
  <si>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</si>
  <si>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</si>
  <si>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</si>
  <si>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</si>
  <si>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</si>
  <si>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</si>
  <si>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</si>
  <si>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</si>
  <si>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</si>
  <si>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</si>
  <si>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</si>
  <si>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</si>
  <si>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</si>
  <si>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</si>
  <si>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</si>
  <si>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</si>
  <si>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</si>
  <si>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</si>
  <si>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</si>
  <si>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</si>
  <si>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</si>
  <si>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</si>
  <si>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</si>
  <si>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</si>
  <si>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</si>
  <si>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</si>
  <si>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</si>
  <si>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</si>
  <si>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</si>
  <si>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</si>
  <si>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</si>
  <si>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</si>
  <si>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</si>
  <si>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</si>
  <si>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</si>
  <si>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</si>
  <si>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</si>
  <si>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</si>
  <si>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</si>
  <si>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</si>
  <si>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</si>
  <si>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</si>
  <si>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</si>
  <si>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</si>
  <si>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</si>
  <si>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</si>
  <si>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</si>
  <si>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</si>
  <si>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</si>
  <si>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</si>
  <si>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</si>
  <si>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</si>
  <si>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</si>
  <si>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</si>
  <si>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</si>
  <si>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</si>
  <si>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</si>
  <si>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</si>
  <si>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</si>
  <si>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</si>
  <si>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</si>
  <si>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</si>
  <si>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</si>
  <si>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</si>
  <si>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</si>
  <si>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</si>
  <si>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</si>
  <si>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</si>
  <si>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</si>
  <si>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</si>
  <si>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</si>
  <si>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</si>
  <si>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</si>
  <si>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</si>
  <si>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</si>
  <si>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</si>
  <si>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</si>
  <si>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</si>
  <si>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</si>
  <si>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</si>
  <si>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</si>
  <si>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</si>
  <si>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</si>
  <si>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</si>
  <si>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</si>
  <si>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</si>
  <si>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</si>
  <si>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</si>
  <si>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</si>
  <si>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</si>
  <si>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</si>
  <si>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</si>
  <si>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</si>
  <si>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</si>
  <si>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</si>
  <si>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</si>
  <si>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</si>
  <si>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</si>
  <si>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</si>
  <si>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</si>
  <si>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</si>
  <si>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</si>
  <si>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</si>
  <si>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</si>
  <si>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</si>
  <si>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</si>
  <si>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</si>
  <si>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</si>
  <si>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</si>
  <si>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</si>
  <si>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</si>
  <si>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</si>
  <si>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</si>
  <si>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</si>
  <si>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</si>
  <si>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</si>
  <si>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</si>
  <si>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</si>
  <si>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</si>
  <si>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</si>
  <si>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</si>
  <si>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</si>
  <si>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South</t>
  </si>
  <si>
    <t>West</t>
  </si>
  <si>
    <t>North</t>
  </si>
  <si>
    <t>East</t>
  </si>
  <si>
    <t>Hyderabad</t>
  </si>
  <si>
    <t>Bengaluru</t>
  </si>
  <si>
    <t>Pune</t>
  </si>
  <si>
    <t>Mumbai</t>
  </si>
  <si>
    <t>Delhi</t>
  </si>
  <si>
    <t>Ahmedabad</t>
  </si>
  <si>
    <t>Kolkata</t>
  </si>
  <si>
    <t>Noida</t>
  </si>
  <si>
    <t>Gurgaon</t>
  </si>
  <si>
    <t>Patna</t>
  </si>
  <si>
    <t>Bhubaneswar</t>
  </si>
  <si>
    <t>Chennai</t>
  </si>
  <si>
    <t>Online</t>
  </si>
  <si>
    <t>Offline</t>
  </si>
  <si>
    <t>Repeat</t>
  </si>
  <si>
    <t>New</t>
  </si>
  <si>
    <t>Electronics</t>
  </si>
  <si>
    <t>FMCG</t>
  </si>
  <si>
    <t>Home Appliances</t>
  </si>
  <si>
    <t>Headphones</t>
  </si>
  <si>
    <t>Wireless Mouse</t>
  </si>
  <si>
    <t>Rice Bag</t>
  </si>
  <si>
    <t>Iron Box</t>
  </si>
  <si>
    <t>Keyboard</t>
  </si>
  <si>
    <t>Soap Pack</t>
  </si>
  <si>
    <t>Electric Kettle</t>
  </si>
  <si>
    <t>Cooking Oil</t>
  </si>
  <si>
    <t>Mixer Grinder</t>
  </si>
  <si>
    <t>Amit</t>
  </si>
  <si>
    <t>Suman</t>
  </si>
  <si>
    <t>Ravi</t>
  </si>
  <si>
    <t>Kiran</t>
  </si>
  <si>
    <t>Neha</t>
  </si>
  <si>
    <t>Profit</t>
  </si>
  <si>
    <t>Profit Margin %</t>
  </si>
  <si>
    <t>Sum of Sales_Amount</t>
  </si>
  <si>
    <t>Grand Total</t>
  </si>
  <si>
    <t>Jan</t>
  </si>
  <si>
    <t>Mar</t>
  </si>
  <si>
    <t>Apr</t>
  </si>
  <si>
    <t>Jun</t>
  </si>
  <si>
    <t>Sum of Profit</t>
  </si>
  <si>
    <t>Month</t>
  </si>
  <si>
    <t>Product Category</t>
  </si>
  <si>
    <t>Sales Channel</t>
  </si>
  <si>
    <t>Row Labels</t>
  </si>
  <si>
    <t>Total Sales</t>
  </si>
  <si>
    <t xml:space="preserve">Total Profit </t>
  </si>
  <si>
    <t>Total Profit %</t>
  </si>
  <si>
    <t>Total Profit</t>
  </si>
  <si>
    <t>Sum of Profit Margin %</t>
  </si>
  <si>
    <t>May</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</si>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</sst>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sz val="11"/>
      <color theme="1"/>
      <name val="Calibri"/>
      <family val="2"/>
      <scheme val="minor"/>
    </font>
    <font>
      <b/>
      <sz val="11"/>
      <color theme="0"/>
      <name val="Times New Roman"/>
      <family val="1"/>
    </font>
    <font>
      <sz val="11"/>
      <color theme="1"/>
      <name val="Times New Roman"/>
      <family val="1"/>
    </font>
    <font>
      <b/>
      <sz val="20"/>
      <color theme="1"/>
      <name val="Times New Roman"/>
      <family val="1"/>
    </font>
    <font>
      <b/>
      <sz val="14"/>
      <color theme="1"/>
      <name val="Times New Roman"/>
      <family val="1"/>
    </font>
    <font>
      <b/>
      <sz val="20"/>
      <color theme="0"/>
      <name val="Times New Roman"/>
      <family val="1"/>
    </font>
  </fonts>
  <fills count="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3"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1" xfId="0"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center"/>
    </xf>
    <xf numFmtId="0" fontId="2" fillId="2" borderId="5" xfId="0" applyFont="1" applyFill="1" applyBorder="1" applyAlignment="1">
      <alignment horizontal="center" vertical="top"/>
    </xf>
    <xf numFmtId="0" fontId="2" fillId="2" borderId="2" xfId="0" applyFont="1" applyFill="1" applyBorder="1" applyAlignment="1">
      <alignment horizontal="center" vertical="top"/>
    </xf>
    <xf numFmtId="9" fontId="2" fillId="2" borderId="6" xfId="1" applyFont="1" applyFill="1" applyBorder="1" applyAlignment="1">
      <alignment horizontal="center" vertical="top"/>
    </xf>
    <xf numFmtId="0" fontId="3" fillId="0" borderId="0" xfId="0" applyFont="1"/>
    <xf numFmtId="0" fontId="3" fillId="0" borderId="3" xfId="0" applyFont="1" applyBorder="1"/>
    <xf numFmtId="164" fontId="3" fillId="0" borderId="1" xfId="0" applyNumberFormat="1" applyFont="1" applyBorder="1"/>
    <xf numFmtId="0" fontId="3" fillId="0" borderId="1" xfId="0" applyFont="1" applyBorder="1"/>
    <xf numFmtId="9" fontId="3" fillId="0" borderId="4" xfId="1" applyFont="1" applyBorder="1"/>
    <xf numFmtId="0" fontId="3" fillId="0" borderId="7" xfId="0" applyFont="1" applyBorder="1"/>
    <xf numFmtId="164" fontId="3" fillId="0" borderId="8" xfId="0" applyNumberFormat="1" applyFont="1" applyBorder="1"/>
    <xf numFmtId="0" fontId="3" fillId="0" borderId="8" xfId="0" applyFont="1" applyBorder="1"/>
    <xf numFmtId="9" fontId="3" fillId="0" borderId="9" xfId="1" applyFont="1" applyBorder="1"/>
    <xf numFmtId="0" fontId="4" fillId="0" borderId="0" xfId="0" applyFont="1" applyFill="1" applyAlignment="1">
      <alignment horizontal="center"/>
    </xf>
    <xf numFmtId="0" fontId="5" fillId="3" borderId="10" xfId="0" applyFont="1" applyFill="1" applyBorder="1"/>
    <xf numFmtId="0" fontId="5" fillId="3" borderId="11" xfId="0" applyFont="1" applyFill="1" applyBorder="1"/>
    <xf numFmtId="0" fontId="5" fillId="3" borderId="12" xfId="0" applyFont="1" applyFill="1" applyBorder="1"/>
    <xf numFmtId="0" fontId="5" fillId="3" borderId="13" xfId="0" applyFont="1" applyFill="1" applyBorder="1"/>
    <xf numFmtId="0" fontId="5" fillId="3" borderId="14" xfId="0" applyFont="1" applyFill="1" applyBorder="1"/>
    <xf numFmtId="0" fontId="6" fillId="4" borderId="8" xfId="0" applyFont="1" applyFill="1" applyBorder="1" applyAlignment="1">
      <alignment horizontal="center" vertical="center"/>
    </xf>
    <xf numFmtId="0" fontId="6" fillId="4" borderId="16" xfId="0" applyFont="1" applyFill="1" applyBorder="1" applyAlignment="1">
      <alignment horizontal="center"/>
    </xf>
    <xf numFmtId="0" fontId="0" fillId="0" borderId="0" xfId="0" applyNumberFormat="1"/>
    <xf numFmtId="0" fontId="6" fillId="4" borderId="0" xfId="0" applyNumberFormat="1" applyFont="1" applyFill="1" applyAlignment="1">
      <alignment horizontal="center"/>
    </xf>
    <xf numFmtId="0" fontId="0" fillId="0" borderId="0" xfId="0" applyNumberFormat="1" applyAlignment="1">
      <alignment horizontal="center"/>
    </xf>
    <xf numFmtId="2" fontId="0" fillId="0" borderId="0" xfId="0" applyNumberFormat="1"/>
    <xf numFmtId="2" fontId="5" fillId="3" borderId="15" xfId="0" applyNumberFormat="1" applyFont="1" applyFill="1" applyBorder="1"/>
    <xf numFmtId="2" fontId="6" fillId="4" borderId="16" xfId="0" applyNumberFormat="1" applyFont="1" applyFill="1" applyBorder="1" applyAlignment="1">
      <alignment horizontal="center"/>
    </xf>
    <xf numFmtId="0" fontId="0" fillId="0" borderId="0" xfId="0" applyAlignment="1">
      <alignment horizontal="center"/>
    </xf>
  </cellXfs>
  <cellStyles count="2">
    <cellStyle name="Normal" xfId="0" builtinId="0"/>
    <cellStyle name="Per cent" xfId="1" builtinId="5"/>
  </cellStyles>
  <dxfs count="1170">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numFmt numFmtId="0" formatCode="General"/>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Times New Roman"/>
        <family val="1"/>
        <scheme val="none"/>
      </font>
      <border diagonalUp="0" diagonalDown="0" outline="0">
        <left style="thin">
          <color auto="1"/>
        </left>
        <right/>
        <top style="thin">
          <color auto="1"/>
        </top>
        <bottom style="thin">
          <color auto="1"/>
        </bottom>
      </border>
    </dxf>
    <dxf>
      <font>
        <strike val="0"/>
        <outline val="0"/>
        <shadow val="0"/>
        <u val="none"/>
        <vertAlign val="baseline"/>
        <name val="Times New Roman"/>
        <family val="1"/>
        <scheme val="none"/>
      </font>
      <numFmt numFmtId="0" formatCode="General"/>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numFmt numFmtId="164" formatCode="yyyy\-mm\-dd\ hh:mm:ss"/>
      <border diagonalUp="0" diagonalDown="0"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name val="Times New Roman"/>
        <family val="1"/>
        <scheme val="none"/>
      </font>
    </dxf>
    <dxf>
      <border outline="0">
        <bottom style="thin">
          <color auto="1"/>
        </bottom>
      </border>
    </dxf>
    <dxf>
      <font>
        <b/>
        <i val="0"/>
        <strike val="0"/>
        <condense val="0"/>
        <extend val="0"/>
        <outline val="0"/>
        <shadow val="0"/>
        <u val="none"/>
        <vertAlign val="baseline"/>
        <sz val="11"/>
        <color theme="0"/>
        <name val="Times New Roman"/>
        <family val="1"/>
        <scheme val="none"/>
      </font>
      <fill>
        <patternFill patternType="solid">
          <fgColor indexed="64"/>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10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[Excel_Business_Performance_180_Orders.xlsx]Pivot Analysis!PivotTable2</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Analysis'!$D$2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Analysis'!$C$3:$C$9</c:f>
              <c:strCache>
                <c:ptCount val="6"/>
                <c:pt idx="0">
                  <c:v>Jan</c:v>
                </c:pt>
                <c:pt idx="1">
                  <c:v>Feb</c:v>
                </c:pt>
                <c:pt idx="2">
                  <c:v>Mar</c:v>
                </c:pt>
                <c:pt idx="3">
                  <c:v>Apr</c:v>
                </c:pt>
                <c:pt idx="4">
                  <c:v>May</c:v>
                </c:pt>
                <c:pt idx="5">
                  <c:v>Jun</c:v>
                </c:pt>
              </c:strCache>
            </c:strRef>
          </c:cat>
          <c:val>
            <c:numRef>
              <c:f>'Pivot Analysis'!$D$3:$D$9</c:f>
              <c:numCache>
                <c:formatCode>General</c:formatCode>
                <c:ptCount val="6"/>
                <c:pt idx="0">
                  <c:v>209043</c:v>
                </c:pt>
                <c:pt idx="1">
                  <c:v>90467</c:v>
                </c:pt>
                <c:pt idx="2">
                  <c:v>227297</c:v>
                </c:pt>
                <c:pt idx="3">
                  <c:v>297819</c:v>
                </c:pt>
                <c:pt idx="4">
                  <c:v>231708</c:v>
                </c:pt>
                <c:pt idx="5">
                  <c:v>333097</c:v>
                </c:pt>
              </c:numCache>
            </c:numRef>
          </c:val>
          <c:smooth val="0"/>
          <c:extLst>
            <c:ext xmlns:c16="http://schemas.microsoft.com/office/drawing/2014/chart" uri="{C3380CC4-5D6E-409C-BE32-E72D297353CC}">
              <c16:uniqueId val="{00000000-354B-4D27-B57F-FAF17107175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53070928"/>
        <c:axId val="553070568"/>
      </c:lineChart>
      <c:catAx>
        <c:axId val="5530709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53070568"/>
        <c:crosses val="autoZero"/>
        <c:auto val="1"/>
        <c:lblAlgn val="ctr"/>
        <c:lblOffset val="100"/>
        <c:noMultiLvlLbl val="0"/>
      </c:catAx>
      <c:valAx>
        <c:axId val="553070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307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[Excel_Business_Performance_180_Orders.xlsx]Pivot Analysis!PivotTable3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'Pivot Analysis'!$H$2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Analysis'!$G$3:$G$7</c:f>
              <c:strCache>
                <c:ptCount val="4"/>
                <c:pt idx="0">
                  <c:v>East</c:v>
                </c:pt>
                <c:pt idx="1">
                  <c:v>North</c:v>
                </c:pt>
                <c:pt idx="2">
                  <c:v>South</c:v>
                </c:pt>
                <c:pt idx="3">
                  <c:v>West</c:v>
                </c:pt>
              </c:strCache>
            </c:strRef>
          </c:cat>
          <c:val>
            <c:numRef>
              <c:f>'Pivot Analysis'!$H$3:$H$7</c:f>
              <c:numCache>
                <c:formatCode>General</c:formatCode>
                <c:ptCount val="4"/>
                <c:pt idx="0">
                  <c:v>244854</c:v>
                </c:pt>
                <c:pt idx="1">
                  <c:v>376916</c:v>
                </c:pt>
                <c:pt idx="2">
                  <c:v>368010</c:v>
                </c:pt>
                <c:pt idx="3">
                  <c:v>399651</c:v>
                </c:pt>
              </c:numCache>
            </c:numRef>
          </c:val>
          <c:extLst>
            <c:ext xmlns:c16="http://schemas.microsoft.com/office/drawing/2014/chart" uri="{C3380CC4-5D6E-409C-BE32-E72D297353CC}">
              <c16:uniqueId val="{00000000-FD2D-488C-86DC-ACFD207B966B}"/>
            </c:ext>
          </c:extLst>
        </c:ser>
        <c:dLbls>
          <c:showLegendKey val="0"/>
          <c:showVal val="0"/>
          <c:showCatName val="0"/>
          <c:showSerName val="0"/>
          <c:showPercent val="0"/>
          <c:showBubbleSize val="0"/>
        </c:dLbls>
        <c:gapWidth val="150"/>
        <c:overlap val="100"/>
        <c:axId val="559332664"/>
        <c:axId val="559333744"/>
      </c:barChart>
      <c:catAx>
        <c:axId val="559332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3744"/>
        <c:crosses val="autoZero"/>
        <c:auto val="1"/>
        <c:lblAlgn val="ctr"/>
        <c:lblOffset val="100"/>
        <c:noMultiLvlLbl val="0"/>
      </c:catAx>
      <c:valAx>
        <c:axId val="55933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2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[Excel_Business_Performance_180_Orders.xlsx]Pivot Analysis!PivotTable4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Analysis'!$G$10:$G$13</c:f>
              <c:strCache>
                <c:ptCount val="3"/>
                <c:pt idx="0">
                  <c:v>Electronics</c:v>
                </c:pt>
                <c:pt idx="1">
                  <c:v>FMCG</c:v>
                </c:pt>
                <c:pt idx="2">
                  <c:v>Home Appliances</c:v>
                </c:pt>
              </c:strCache>
            </c:strRef>
          </c:cat>
          <c:val>
            <c:numRef>
              <c:f>'Pivot Analysis'!$H$10:$H$13</c:f>
              <c:numCache>
                <c:formatCode>General</c:formatCode>
                <c:ptCount val="3"/>
                <c:pt idx="0">
                  <c:v>138842</c:v>
                </c:pt>
                <c:pt idx="1">
                  <c:v>166015</c:v>
                </c:pt>
                <c:pt idx="2">
                  <c:v>157001</c:v>
                </c:pt>
              </c:numCache>
            </c:numRef>
          </c:val>
          <c:extLst>
            <c:ext xmlns:c16="http://schemas.microsoft.com/office/drawing/2014/chart" uri="{C3380CC4-5D6E-409C-BE32-E72D297353CC}">
              <c16:uniqueId val="{00000000-C836-45E0-8A23-4C5A9A8ED1A7}"/>
            </c:ext>
          </c:extLst>
        </c:ser>
        <c:dLbls>
          <c:showLegendKey val="0"/>
          <c:showVal val="0"/>
          <c:showCatName val="0"/>
          <c:showSerName val="0"/>
          <c:showPercent val="0"/>
          <c:showBubbleSize val="0"/>
        </c:dLbls>
        <c:gapWidth val="100"/>
        <c:overlap val="-24"/>
        <c:axId val="560631152"/>
        <c:axId val="560634032"/>
      </c:barChart>
      <c:catAx>
        <c:axId val="56063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34032"/>
        <c:crosses val="autoZero"/>
        <c:auto val="1"/>
        <c:lblAlgn val="ctr"/>
        <c:lblOffset val="100"/>
        <c:noMultiLvlLbl val="0"/>
      </c:catAx>
      <c:valAx>
        <c:axId val="56063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3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120650</xdr:colOff>
      <xdr:row>5</xdr:row>
      <xdr:rowOff>6350</xdr:rowOff>
    </xdr:from>
    <xdr:to>
      <xdr:col>5</xdr:col>
      <xdr:colOff>228600</xdr:colOff>
      <xdr:row>16</xdr:row>
      <xdr:rowOff>133350</xdr:rowOff>
    </xdr:to>
    <xdr:graphicFrame macro="">
      <xdr:nvGraphicFramePr>
        <xdr:cNvPr id="2" name="Chart 1">
          <a:extLst>
            <a:ext uri="{FF2B5EF4-FFF2-40B4-BE49-F238E27FC236}">
              <a16:creationId xmlns:a16="http://schemas.microsoft.com/office/drawing/2014/main" id="{2F775650-37F3-4323-961E-BC77E1F4B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4</xdr:row>
      <xdr:rowOff>171450</xdr:rowOff>
    </xdr:from>
    <xdr:to>
      <xdr:col>9</xdr:col>
      <xdr:colOff>190500</xdr:colOff>
      <xdr:row>21</xdr:row>
      <xdr:rowOff>139700</xdr:rowOff>
    </xdr:to>
    <xdr:graphicFrame macro="">
      <xdr:nvGraphicFramePr>
        <xdr:cNvPr id="3" name="Chart 2">
          <a:extLst>
            <a:ext uri="{FF2B5EF4-FFF2-40B4-BE49-F238E27FC236}">
              <a16:creationId xmlns:a16="http://schemas.microsoft.com/office/drawing/2014/main" id="{4C4B7B41-3047-4ED6-AA82-58EAF75F0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8</xdr:row>
      <xdr:rowOff>82550</xdr:rowOff>
    </xdr:from>
    <xdr:to>
      <xdr:col>15</xdr:col>
      <xdr:colOff>469900</xdr:colOff>
      <xdr:row>23</xdr:row>
      <xdr:rowOff>31750</xdr:rowOff>
    </xdr:to>
    <xdr:graphicFrame macro="">
      <xdr:nvGraphicFramePr>
        <xdr:cNvPr id="4" name="Chart 3">
          <a:extLst>
            <a:ext uri="{FF2B5EF4-FFF2-40B4-BE49-F238E27FC236}">
              <a16:creationId xmlns:a16="http://schemas.microsoft.com/office/drawing/2014/main" id="{FD6BE6A2-73AB-4B9B-8A7A-05D816C2D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317500</xdr:colOff>
      <xdr:row>0</xdr:row>
      <xdr:rowOff>31750</xdr:rowOff>
    </xdr:from>
    <xdr:to>
      <xdr:col>3</xdr:col>
      <xdr:colOff>317500</xdr:colOff>
      <xdr:row>4</xdr:row>
      <xdr:rowOff>120650</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CC5545E3-D23F-493C-A0A1-9E27A7FC7C4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17500" y="3175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101600</xdr:colOff>
      <xdr:row>0</xdr:row>
      <xdr:rowOff>82551</xdr:rowOff>
    </xdr:from>
    <xdr:to>
      <xdr:col>12</xdr:col>
      <xdr:colOff>101600</xdr:colOff>
      <xdr:row>4</xdr:row>
      <xdr:rowOff>31751</xdr:rowOff>
    </xdr:to>
    <mc:AlternateContent xmlns:mc="http://schemas.openxmlformats.org/markup-compatibility/2006" xmlns:a14="http://schemas.microsoft.com/office/drawing/2010/main">
      <mc:Choice Requires="a14">
        <xdr:graphicFrame macro="">
          <xdr:nvGraphicFramePr>
            <xdr:cNvPr id="6" name="Sales_Channel">
              <a:extLst>
                <a:ext uri="{FF2B5EF4-FFF2-40B4-BE49-F238E27FC236}">
                  <a16:creationId xmlns:a16="http://schemas.microsoft.com/office/drawing/2014/main" id="{73F11E83-7542-427D-84C5-F46A206E6E5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8077200" y="82551"/>
              <a:ext cx="1828800" cy="104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165100</xdr:colOff>
      <xdr:row>0</xdr:row>
      <xdr:rowOff>165101</xdr:rowOff>
    </xdr:from>
    <xdr:to>
      <xdr:col>15</xdr:col>
      <xdr:colOff>165100</xdr:colOff>
      <xdr:row>7</xdr:row>
      <xdr:rowOff>146051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7008236-D7EE-497A-A27C-2619C01AAD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69500" y="165101"/>
              <a:ext cx="18288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8.67893425926" createdVersion="8" refreshedVersion="8" minRefreshableVersion="3" recordCount="180" xr:uid="{58E68BE7-6F83-4BB5-BA7E-294E61D4E788}">
  <cacheSource type="worksheet">
    <worksheetSource name="Business_Table"/>
  </cacheSource>
  <cacheFields count="16">
    <cacheField name="Order_ID" numFmtId="0">
      <sharedItems/>
    </cacheField>
    <cacheField name="Order_Date" numFmtId="164">
      <sharedItems containsSemiMixedTypes="0" containsNonDate="0" containsDate="1" containsString="0" minDate="2024-01-04T00:00:00" maxDate="2024-06-30T00:00:00" count="115">
        <d v="2024-01-27T00:00:00"/>
        <d v="2024-05-23T00:00:00"/>
        <d v="2024-02-25T00:00:00"/>
        <d v="2024-04-27T00:00:00"/>
        <d v="2024-01-18T00:00:00"/>
        <d v="2024-04-03T00:00:00"/>
        <d v="2024-05-16T00:00:00"/>
        <d v="2024-01-15T00:00:00"/>
        <d v="2024-06-16T00:00:00"/>
        <d v="2024-05-29T00:00:00"/>
        <d v="2024-01-29T00:00:00"/>
        <d v="2024-05-21T00:00:00"/>
        <d v="2024-03-08T00:00:00"/>
        <d v="2024-05-15T00:00:00"/>
        <d v="2024-05-25T00:00:00"/>
        <d v="2024-04-22T00:00:00"/>
        <d v="2024-05-30T00:00:00"/>
        <d v="2024-03-12T00:00:00"/>
        <d v="2024-05-01T00:00:00"/>
        <d v="2024-01-14T00:00:00"/>
        <d v="2024-02-05T00:00:00"/>
        <d v="2024-05-18T00:00:00"/>
        <d v="2024-01-16T00:00:00"/>
        <d v="2024-05-22T00:00:00"/>
        <d v="2024-03-21T00:00:00"/>
        <d v="2024-06-01T00:00:00"/>
        <d v="2024-06-17T00:00:00"/>
        <d v="2024-03-17T00:00:00"/>
        <d v="2024-05-09T00:00:00"/>
        <d v="2024-06-29T00:00:00"/>
        <d v="2024-03-10T00:00:00"/>
        <d v="2024-06-11T00:00:00"/>
        <d v="2024-03-04T00:00:00"/>
        <d v="2024-02-15T00:00:00"/>
        <d v="2024-06-28T00:00:00"/>
        <d v="2024-02-28T00:00:00"/>
        <d v="2024-04-12T00:00:00"/>
        <d v="2024-04-21T00:00:00"/>
        <d v="2024-02-01T00:00:00"/>
        <d v="2024-04-17T00:00:00"/>
        <d v="2024-04-20T00:00:00"/>
        <d v="2024-02-13T00:00:00"/>
        <d v="2024-02-07T00:00:00"/>
        <d v="2024-04-08T00:00:00"/>
        <d v="2024-06-27T00:00:00"/>
        <d v="2024-04-25T00:00:00"/>
        <d v="2024-03-14T00:00:00"/>
        <d v="2024-06-22T00:00:00"/>
        <d v="2024-06-13T00:00:00"/>
        <d v="2024-03-27T00:00:00"/>
        <d v="2024-03-30T00:00:00"/>
        <d v="2024-01-30T00:00:00"/>
        <d v="2024-02-20T00:00:00"/>
        <d v="2024-04-04T00:00:00"/>
        <d v="2024-05-31T00:00:00"/>
        <d v="2024-04-07T00:00:00"/>
        <d v="2024-03-02T00:00:00"/>
        <d v="2024-03-19T00:00:00"/>
        <d v="2024-04-26T00:00:00"/>
        <d v="2024-06-25T00:00:00"/>
        <d v="2024-01-26T00:00:00"/>
        <d v="2024-03-28T00:00:00"/>
        <d v="2024-06-24T00:00:00"/>
        <d v="2024-06-04T00:00:00"/>
        <d v="2024-01-20T00:00:00"/>
        <d v="2024-03-09T00:00:00"/>
        <d v="2024-04-29T00:00:00"/>
        <d v="2024-03-23T00:00:00"/>
        <d v="2024-06-21T00:00:00"/>
        <d v="2024-05-05T00:00:00"/>
        <d v="2024-04-15T00:00:00"/>
        <d v="2024-04-13T00:00:00"/>
        <d v="2024-06-09T00:00:00"/>
        <d v="2024-06-10T00:00:00"/>
        <d v="2024-04-30T00:00:00"/>
        <d v="2024-04-16T00:00:00"/>
        <d v="2024-05-17T00:00:00"/>
        <d v="2024-06-15T00:00:00"/>
        <d v="2024-01-04T00:00:00"/>
        <d v="2024-03-18T00:00:00"/>
        <d v="2024-03-24T00:00:00"/>
        <d v="2024-02-12T00:00:00"/>
        <d v="2024-01-10T00:00:00"/>
        <d v="2024-06-14T00:00:00"/>
        <d v="2024-06-12T00:00:00"/>
        <d v="2024-02-03T00:00:00"/>
        <d v="2024-01-17T00:00:00"/>
        <d v="2024-04-23T00:00:00"/>
        <d v="2024-05-20T00:00:00"/>
        <d v="2024-01-25T00:00:00"/>
        <d v="2024-01-22T00:00:00"/>
        <d v="2024-06-20T00:00:00"/>
        <d v="2024-05-26T00:00:00"/>
        <d v="2024-05-04T00:00:00"/>
        <d v="2024-02-24T00:00:00"/>
        <d v="2024-06-07T00:00:00"/>
        <d v="2024-04-11T00:00:00"/>
        <d v="2024-05-08T00:00:00"/>
        <d v="2024-04-02T00:00:00"/>
        <d v="2024-06-26T00:00:00"/>
        <d v="2024-04-24T00:00:00"/>
        <d v="2024-03-13T00:00:00"/>
        <d v="2024-01-24T00:00:00"/>
        <d v="2024-01-21T00:00:00"/>
        <d v="2024-02-08T00:00:00"/>
        <d v="2024-06-08T00:00:00"/>
        <d v="2024-03-15T00:00:00"/>
        <d v="2024-04-01T00:00:00"/>
        <d v="2024-01-12T00:00:00"/>
        <d v="2024-02-18T00:00:00"/>
        <d v="2024-04-19T00:00:00"/>
        <d v="2024-01-09T00:00:00"/>
        <d v="2024-02-27T00:00:00"/>
        <d v="2024-04-14T00:00:00"/>
        <d v="2024-03-11T00:00:00"/>
      </sharedItems>
      <fieldGroup par="15"/>
    </cacheField>
    <cacheField name="Region" numFmtId="0">
      <sharedItems count="4">
        <s v="South"/>
        <s v="West"/>
        <s v="North"/>
        <s v="East"/>
      </sharedItems>
    </cacheField>
    <cacheField name="City" numFmtId="0">
      <sharedItems/>
    </cacheField>
    <cacheField name="Sales_Channel" numFmtId="0">
      <sharedItems count="2">
        <s v="Online"/>
        <s v="Offline"/>
      </sharedItems>
    </cacheField>
    <cacheField name="Customer_Type" numFmtId="0">
      <sharedItems/>
    </cacheField>
    <cacheField name="Product_Category" numFmtId="0">
      <sharedItems count="3">
        <s v="Electronics"/>
        <s v="FMCG"/>
        <s v="Home Appliances"/>
      </sharedItems>
    </cacheField>
    <cacheField name="Product_Name" numFmtId="0">
      <sharedItems count="9">
        <s v="Headphones"/>
        <s v="Wireless Mouse"/>
        <s v="Rice Bag"/>
        <s v="Iron Box"/>
        <s v="Keyboard"/>
        <s v="Soap Pack"/>
        <s v="Electric Kettle"/>
        <s v="Cooking Oil"/>
        <s v="Mixer Grinder"/>
      </sharedItems>
    </cacheField>
    <cacheField name="Quantity" numFmtId="0">
      <sharedItems containsSemiMixedTypes="0" containsString="0" containsNumber="1" containsInteger="1" minValue="1" maxValue="10"/>
    </cacheField>
    <cacheField name="Sales_Amount" numFmtId="0">
      <sharedItems containsSemiMixedTypes="0" containsString="0" containsNumber="1" containsInteger="1" minValue="925" maxValue="14976" count="180">
        <n v="4812"/>
        <n v="9079"/>
        <n v="6374"/>
        <n v="5133"/>
        <n v="10259"/>
        <n v="8228"/>
        <n v="10780"/>
        <n v="4398"/>
        <n v="12562"/>
        <n v="9630"/>
        <n v="13182"/>
        <n v="8468"/>
        <n v="8233"/>
        <n v="9637"/>
        <n v="1749"/>
        <n v="9807"/>
        <n v="11804"/>
        <n v="10438"/>
        <n v="1960"/>
        <n v="8544"/>
        <n v="8451"/>
        <n v="3916"/>
        <n v="2404"/>
        <n v="14966"/>
        <n v="12212"/>
        <n v="12854"/>
        <n v="14748"/>
        <n v="10947"/>
        <n v="2944"/>
        <n v="2000"/>
        <n v="7979"/>
        <n v="12963"/>
        <n v="14662"/>
        <n v="3447"/>
        <n v="1390"/>
        <n v="6662"/>
        <n v="4678"/>
        <n v="5171"/>
        <n v="5800"/>
        <n v="6553"/>
        <n v="1426"/>
        <n v="4973"/>
        <n v="5943"/>
        <n v="9883"/>
        <n v="5778"/>
        <n v="8552"/>
        <n v="4480"/>
        <n v="3985"/>
        <n v="3681"/>
        <n v="13930"/>
        <n v="12984"/>
        <n v="8006"/>
        <n v="7075"/>
        <n v="1820"/>
        <n v="14782"/>
        <n v="7171"/>
        <n v="11662"/>
        <n v="4267"/>
        <n v="1653"/>
        <n v="3296"/>
        <n v="10749"/>
        <n v="7298"/>
        <n v="9528"/>
        <n v="11213"/>
        <n v="8416"/>
        <n v="10136"/>
        <n v="13871"/>
        <n v="8804"/>
        <n v="7425"/>
        <n v="6219"/>
        <n v="2758"/>
        <n v="10577"/>
        <n v="2873"/>
        <n v="8490"/>
        <n v="2013"/>
        <n v="9943"/>
        <n v="5803"/>
        <n v="4729"/>
        <n v="5520"/>
        <n v="4483"/>
        <n v="5528"/>
        <n v="1453"/>
        <n v="1139"/>
        <n v="7941"/>
        <n v="14853"/>
        <n v="4935"/>
        <n v="11001"/>
        <n v="2789"/>
        <n v="4481"/>
        <n v="7607"/>
        <n v="14956"/>
        <n v="14976"/>
        <n v="12227"/>
        <n v="11673"/>
        <n v="9417"/>
        <n v="11011"/>
        <n v="1921"/>
        <n v="8069"/>
        <n v="3185"/>
        <n v="11992"/>
        <n v="13983"/>
        <n v="12110"/>
        <n v="10217"/>
        <n v="10735"/>
        <n v="11093"/>
        <n v="2276"/>
        <n v="9021"/>
        <n v="13156"/>
        <n v="2824"/>
        <n v="1210"/>
        <n v="3090"/>
        <n v="8232"/>
        <n v="5383"/>
        <n v="9720"/>
        <n v="11658"/>
        <n v="1924"/>
        <n v="14864"/>
        <n v="13743"/>
        <n v="9419"/>
        <n v="10877"/>
        <n v="12041"/>
        <n v="11028"/>
        <n v="7848"/>
        <n v="7332"/>
        <n v="1899"/>
        <n v="10001"/>
        <n v="6561"/>
        <n v="2682"/>
        <n v="12313"/>
        <n v="2303"/>
        <n v="13527"/>
        <n v="8059"/>
        <n v="7843"/>
        <n v="925"/>
        <n v="3678"/>
        <n v="1107"/>
        <n v="6121"/>
        <n v="7360"/>
        <n v="9493"/>
        <n v="10669"/>
        <n v="6095"/>
        <n v="13847"/>
        <n v="14426"/>
        <n v="6067"/>
        <n v="11386"/>
        <n v="7147"/>
        <n v="5455"/>
        <n v="2912"/>
        <n v="9131"/>
        <n v="3338"/>
        <n v="3458"/>
        <n v="8077"/>
        <n v="8018"/>
        <n v="6881"/>
        <n v="3214"/>
        <n v="6926"/>
        <n v="13765"/>
        <n v="1111"/>
        <n v="4706"/>
        <n v="4763"/>
        <n v="9376"/>
        <n v="4955"/>
        <n v="9745"/>
        <n v="1405"/>
        <n v="1399"/>
        <n v="7353"/>
        <n v="12712"/>
        <n v="5821"/>
        <n v="7926"/>
        <n v="11909"/>
        <n v="10713"/>
        <n v="5950"/>
        <n v="13497"/>
        <n v="3628"/>
        <n v="13803"/>
        <n v="10176"/>
        <n v="9412"/>
        <n v="6444"/>
        <n v="5782"/>
        <n v="11204"/>
      </sharedItems>
    </cacheField>
    <cacheField name="Cost_Amount" numFmtId="0">
      <sharedItems containsSemiMixedTypes="0" containsString="0" containsNumber="1" containsInteger="1" minValue="556" maxValue="11831"/>
    </cacheField>
    <cacheField name="Salesperson" numFmtId="0">
      <sharedItems/>
    </cacheField>
    <cacheField name="Profit" numFmtId="0">
      <sharedItems containsSemiMixedTypes="0" containsString="0" containsNumber="1" containsInteger="1" minValue="228" maxValue="6470"/>
    </cacheField>
    <cacheField name="Profit Margin %" numFmtId="9">
      <sharedItems containsSemiMixedTypes="0" containsString="0" containsNumber="1" minValue="0.20017559262510976" maxValue="0.44928944491679823"/>
    </cacheField>
    <cacheField name="Days (Order_Date)" numFmtId="0" databaseField="0">
      <fieldGroup base="1">
        <rangePr groupBy="days" startDate="2024-01-04T00:00:00" endDate="2024-06-30T00:00:00"/>
        <groupItems count="368">
          <s v="&lt;0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Order_Date)" numFmtId="0" databaseField="0">
      <fieldGroup base="1">
        <rangePr groupBy="months" startDate="2024-01-04T00:00:00" endDate="2024-06-30T00:00:00"/>
        <groupItems count="14">
          <s v="&lt;04-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1547756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001"/>
    <x v="0"/>
    <x v="0"/>
    <s v="Hyderabad"/>
    <x v="0"/>
    <s v="Repeat"/>
    <x v="0"/>
    <x v="0"/>
    <n v="5"/>
    <x v="0"/>
    <n v="2915"/>
    <s v="Amit"/>
    <n v="1897"/>
    <n v="0.39422277639235243"/>
  </r>
  <r>
    <s v="ORD002"/>
    <x v="1"/>
    <x v="0"/>
    <s v="Bengaluru"/>
    <x v="1"/>
    <s v="New"/>
    <x v="0"/>
    <x v="1"/>
    <n v="4"/>
    <x v="1"/>
    <n v="6359"/>
    <s v="Suman"/>
    <n v="2720"/>
    <n v="0.29959246613063112"/>
  </r>
  <r>
    <s v="ORD003"/>
    <x v="2"/>
    <x v="1"/>
    <s v="Pune"/>
    <x v="0"/>
    <s v="New"/>
    <x v="0"/>
    <x v="1"/>
    <n v="7"/>
    <x v="2"/>
    <n v="3948"/>
    <s v="Suman"/>
    <n v="2426"/>
    <n v="0.38060872293693127"/>
  </r>
  <r>
    <s v="ORD004"/>
    <x v="3"/>
    <x v="0"/>
    <s v="Hyderabad"/>
    <x v="0"/>
    <s v="Repeat"/>
    <x v="1"/>
    <x v="2"/>
    <n v="10"/>
    <x v="3"/>
    <n v="3858"/>
    <s v="Amit"/>
    <n v="1275"/>
    <n v="0.2483927527761543"/>
  </r>
  <r>
    <s v="ORD005"/>
    <x v="4"/>
    <x v="1"/>
    <s v="Mumbai"/>
    <x v="0"/>
    <s v="Repeat"/>
    <x v="2"/>
    <x v="3"/>
    <n v="6"/>
    <x v="4"/>
    <n v="6135"/>
    <s v="Amit"/>
    <n v="4124"/>
    <n v="0.40198849790427915"/>
  </r>
  <r>
    <s v="ORD006"/>
    <x v="5"/>
    <x v="2"/>
    <s v="Delhi"/>
    <x v="1"/>
    <s v="Repeat"/>
    <x v="0"/>
    <x v="4"/>
    <n v="5"/>
    <x v="5"/>
    <n v="5833"/>
    <s v="Ravi"/>
    <n v="2395"/>
    <n v="0.29107924161400095"/>
  </r>
  <r>
    <s v="ORD007"/>
    <x v="6"/>
    <x v="1"/>
    <s v="Ahmedabad"/>
    <x v="0"/>
    <s v="New"/>
    <x v="2"/>
    <x v="3"/>
    <n v="2"/>
    <x v="6"/>
    <n v="7640"/>
    <s v="Suman"/>
    <n v="3140"/>
    <n v="0.29128014842300559"/>
  </r>
  <r>
    <s v="ORD008"/>
    <x v="7"/>
    <x v="3"/>
    <s v="Kolkata"/>
    <x v="0"/>
    <s v="Repeat"/>
    <x v="1"/>
    <x v="5"/>
    <n v="9"/>
    <x v="7"/>
    <n v="3171"/>
    <s v="Suman"/>
    <n v="1227"/>
    <n v="0.27899045020463847"/>
  </r>
  <r>
    <s v="ORD009"/>
    <x v="8"/>
    <x v="1"/>
    <s v="Pune"/>
    <x v="1"/>
    <s v="Repeat"/>
    <x v="0"/>
    <x v="1"/>
    <n v="10"/>
    <x v="8"/>
    <n v="7897"/>
    <s v="Ravi"/>
    <n v="4665"/>
    <n v="0.37135806400254734"/>
  </r>
  <r>
    <s v="ORD010"/>
    <x v="9"/>
    <x v="1"/>
    <s v="Pune"/>
    <x v="1"/>
    <s v="Repeat"/>
    <x v="0"/>
    <x v="1"/>
    <n v="9"/>
    <x v="9"/>
    <n v="5929"/>
    <s v="Ravi"/>
    <n v="3701"/>
    <n v="0.38431983385254415"/>
  </r>
  <r>
    <s v="ORD011"/>
    <x v="10"/>
    <x v="2"/>
    <s v="Delhi"/>
    <x v="0"/>
    <s v="Repeat"/>
    <x v="2"/>
    <x v="6"/>
    <n v="2"/>
    <x v="10"/>
    <n v="7405"/>
    <s v="Kiran"/>
    <n v="5777"/>
    <n v="0.43824912759824003"/>
  </r>
  <r>
    <s v="ORD012"/>
    <x v="11"/>
    <x v="0"/>
    <s v="Bengaluru"/>
    <x v="0"/>
    <s v="Repeat"/>
    <x v="1"/>
    <x v="2"/>
    <n v="10"/>
    <x v="11"/>
    <n v="5777"/>
    <s v="Neha"/>
    <n v="2691"/>
    <n v="0.31778460085025978"/>
  </r>
  <r>
    <s v="ORD013"/>
    <x v="12"/>
    <x v="0"/>
    <s v="Hyderabad"/>
    <x v="0"/>
    <s v="New"/>
    <x v="1"/>
    <x v="2"/>
    <n v="3"/>
    <x v="12"/>
    <n v="4534"/>
    <s v="Neha"/>
    <n v="3699"/>
    <n v="0.44928944491679823"/>
  </r>
  <r>
    <s v="ORD014"/>
    <x v="13"/>
    <x v="2"/>
    <s v="Delhi"/>
    <x v="1"/>
    <s v="Repeat"/>
    <x v="0"/>
    <x v="4"/>
    <n v="3"/>
    <x v="13"/>
    <n v="7597"/>
    <s v="Amit"/>
    <n v="2040"/>
    <n v="0.21168413406661823"/>
  </r>
  <r>
    <s v="ORD015"/>
    <x v="14"/>
    <x v="0"/>
    <s v="Bengaluru"/>
    <x v="0"/>
    <s v="Repeat"/>
    <x v="1"/>
    <x v="2"/>
    <n v="4"/>
    <x v="14"/>
    <n v="1067"/>
    <s v="Amit"/>
    <n v="682"/>
    <n v="0.38993710691823902"/>
  </r>
  <r>
    <s v="ORD016"/>
    <x v="13"/>
    <x v="2"/>
    <s v="Noida"/>
    <x v="1"/>
    <s v="New"/>
    <x v="0"/>
    <x v="0"/>
    <n v="8"/>
    <x v="15"/>
    <n v="5798"/>
    <s v="Kiran"/>
    <n v="4009"/>
    <n v="0.40878964005302337"/>
  </r>
  <r>
    <s v="ORD017"/>
    <x v="15"/>
    <x v="2"/>
    <s v="Noida"/>
    <x v="1"/>
    <s v="New"/>
    <x v="2"/>
    <x v="6"/>
    <n v="7"/>
    <x v="16"/>
    <n v="8409"/>
    <s v="Ravi"/>
    <n v="3395"/>
    <n v="0.28761436801084378"/>
  </r>
  <r>
    <s v="ORD018"/>
    <x v="16"/>
    <x v="2"/>
    <s v="Delhi"/>
    <x v="0"/>
    <s v="New"/>
    <x v="0"/>
    <x v="4"/>
    <n v="1"/>
    <x v="17"/>
    <n v="7186"/>
    <s v="Amit"/>
    <n v="3252"/>
    <n v="0.31155393753592642"/>
  </r>
  <r>
    <s v="ORD019"/>
    <x v="17"/>
    <x v="2"/>
    <s v="Noida"/>
    <x v="1"/>
    <s v="New"/>
    <x v="0"/>
    <x v="1"/>
    <n v="6"/>
    <x v="18"/>
    <n v="1329"/>
    <s v="Kiran"/>
    <n v="631"/>
    <n v="0.32193877551020406"/>
  </r>
  <r>
    <s v="ORD020"/>
    <x v="18"/>
    <x v="2"/>
    <s v="Gurgaon"/>
    <x v="0"/>
    <s v="New"/>
    <x v="2"/>
    <x v="3"/>
    <n v="10"/>
    <x v="19"/>
    <n v="5218"/>
    <s v="Amit"/>
    <n v="3326"/>
    <n v="0.38927902621722849"/>
  </r>
  <r>
    <s v="ORD021"/>
    <x v="19"/>
    <x v="3"/>
    <s v="Patna"/>
    <x v="0"/>
    <s v="New"/>
    <x v="1"/>
    <x v="2"/>
    <n v="7"/>
    <x v="20"/>
    <n v="6473"/>
    <s v="Suman"/>
    <n v="1978"/>
    <n v="0.23405514140338421"/>
  </r>
  <r>
    <s v="ORD022"/>
    <x v="20"/>
    <x v="1"/>
    <s v="Pune"/>
    <x v="0"/>
    <s v="Repeat"/>
    <x v="0"/>
    <x v="1"/>
    <n v="4"/>
    <x v="21"/>
    <n v="2678"/>
    <s v="Suman"/>
    <n v="1238"/>
    <n v="0.31613891726251275"/>
  </r>
  <r>
    <s v="ORD023"/>
    <x v="21"/>
    <x v="2"/>
    <s v="Delhi"/>
    <x v="0"/>
    <s v="New"/>
    <x v="0"/>
    <x v="4"/>
    <n v="9"/>
    <x v="22"/>
    <n v="1352"/>
    <s v="Ravi"/>
    <n v="1052"/>
    <n v="0.43760399334442596"/>
  </r>
  <r>
    <s v="ORD024"/>
    <x v="22"/>
    <x v="3"/>
    <s v="Kolkata"/>
    <x v="1"/>
    <s v="New"/>
    <x v="1"/>
    <x v="2"/>
    <n v="4"/>
    <x v="23"/>
    <n v="9731"/>
    <s v="Suman"/>
    <n v="5235"/>
    <n v="0.34979286382466923"/>
  </r>
  <r>
    <s v="ORD025"/>
    <x v="23"/>
    <x v="1"/>
    <s v="Ahmedabad"/>
    <x v="1"/>
    <s v="New"/>
    <x v="1"/>
    <x v="2"/>
    <n v="7"/>
    <x v="24"/>
    <n v="9639"/>
    <s v="Ravi"/>
    <n v="2573"/>
    <n v="0.21069439895185063"/>
  </r>
  <r>
    <s v="ORD026"/>
    <x v="24"/>
    <x v="1"/>
    <s v="Mumbai"/>
    <x v="0"/>
    <s v="Repeat"/>
    <x v="0"/>
    <x v="1"/>
    <n v="10"/>
    <x v="25"/>
    <n v="8812"/>
    <s v="Kiran"/>
    <n v="4042"/>
    <n v="0.3144546444686479"/>
  </r>
  <r>
    <s v="ORD027"/>
    <x v="25"/>
    <x v="2"/>
    <s v="Delhi"/>
    <x v="0"/>
    <s v="Repeat"/>
    <x v="0"/>
    <x v="0"/>
    <n v="2"/>
    <x v="26"/>
    <n v="8796"/>
    <s v="Amit"/>
    <n v="5952"/>
    <n v="0.40358014646053703"/>
  </r>
  <r>
    <s v="ORD028"/>
    <x v="26"/>
    <x v="2"/>
    <s v="Noida"/>
    <x v="1"/>
    <s v="Repeat"/>
    <x v="2"/>
    <x v="3"/>
    <n v="1"/>
    <x v="27"/>
    <n v="6245"/>
    <s v="Ravi"/>
    <n v="4702"/>
    <n v="0.42952407052160407"/>
  </r>
  <r>
    <s v="ORD029"/>
    <x v="27"/>
    <x v="1"/>
    <s v="Pune"/>
    <x v="1"/>
    <s v="New"/>
    <x v="0"/>
    <x v="4"/>
    <n v="7"/>
    <x v="28"/>
    <n v="2113"/>
    <s v="Amit"/>
    <n v="831"/>
    <n v="0.28226902173913043"/>
  </r>
  <r>
    <s v="ORD030"/>
    <x v="28"/>
    <x v="3"/>
    <s v="Bhubaneswar"/>
    <x v="0"/>
    <s v="Repeat"/>
    <x v="2"/>
    <x v="3"/>
    <n v="2"/>
    <x v="29"/>
    <n v="1368"/>
    <s v="Amit"/>
    <n v="632"/>
    <n v="0.316"/>
  </r>
  <r>
    <s v="ORD031"/>
    <x v="29"/>
    <x v="2"/>
    <s v="Gurgaon"/>
    <x v="0"/>
    <s v="Repeat"/>
    <x v="1"/>
    <x v="2"/>
    <n v="3"/>
    <x v="30"/>
    <n v="6051"/>
    <s v="Amit"/>
    <n v="1928"/>
    <n v="0.24163429001127962"/>
  </r>
  <r>
    <s v="ORD032"/>
    <x v="30"/>
    <x v="2"/>
    <s v="Gurgaon"/>
    <x v="0"/>
    <s v="Repeat"/>
    <x v="1"/>
    <x v="7"/>
    <n v="2"/>
    <x v="31"/>
    <n v="8922"/>
    <s v="Ravi"/>
    <n v="4041"/>
    <n v="0.31173339504744274"/>
  </r>
  <r>
    <s v="ORD033"/>
    <x v="31"/>
    <x v="1"/>
    <s v="Pune"/>
    <x v="1"/>
    <s v="New"/>
    <x v="2"/>
    <x v="6"/>
    <n v="5"/>
    <x v="32"/>
    <n v="8250"/>
    <s v="Amit"/>
    <n v="6412"/>
    <n v="0.43732096576183332"/>
  </r>
  <r>
    <s v="ORD034"/>
    <x v="11"/>
    <x v="1"/>
    <s v="Ahmedabad"/>
    <x v="1"/>
    <s v="New"/>
    <x v="0"/>
    <x v="0"/>
    <n v="5"/>
    <x v="33"/>
    <n v="2534"/>
    <s v="Amit"/>
    <n v="913"/>
    <n v="0.26486800116042936"/>
  </r>
  <r>
    <s v="ORD035"/>
    <x v="9"/>
    <x v="0"/>
    <s v="Hyderabad"/>
    <x v="0"/>
    <s v="Repeat"/>
    <x v="2"/>
    <x v="8"/>
    <n v="9"/>
    <x v="34"/>
    <n v="1054"/>
    <s v="Ravi"/>
    <n v="336"/>
    <n v="0.24172661870503598"/>
  </r>
  <r>
    <s v="ORD036"/>
    <x v="32"/>
    <x v="0"/>
    <s v="Hyderabad"/>
    <x v="0"/>
    <s v="Repeat"/>
    <x v="1"/>
    <x v="2"/>
    <n v="1"/>
    <x v="35"/>
    <n v="4013"/>
    <s v="Kiran"/>
    <n v="2649"/>
    <n v="0.39762833983788654"/>
  </r>
  <r>
    <s v="ORD037"/>
    <x v="33"/>
    <x v="3"/>
    <s v="Bhubaneswar"/>
    <x v="0"/>
    <s v="New"/>
    <x v="2"/>
    <x v="3"/>
    <n v="3"/>
    <x v="36"/>
    <n v="3584"/>
    <s v="Neha"/>
    <n v="1094"/>
    <n v="0.23386062419837536"/>
  </r>
  <r>
    <s v="ORD038"/>
    <x v="34"/>
    <x v="3"/>
    <s v="Kolkata"/>
    <x v="1"/>
    <s v="New"/>
    <x v="2"/>
    <x v="3"/>
    <n v="4"/>
    <x v="37"/>
    <n v="3049"/>
    <s v="Suman"/>
    <n v="2122"/>
    <n v="0.4103654999033069"/>
  </r>
  <r>
    <s v="ORD039"/>
    <x v="35"/>
    <x v="2"/>
    <s v="Delhi"/>
    <x v="0"/>
    <s v="New"/>
    <x v="0"/>
    <x v="4"/>
    <n v="6"/>
    <x v="38"/>
    <n v="4379"/>
    <s v="Suman"/>
    <n v="1421"/>
    <n v="0.245"/>
  </r>
  <r>
    <s v="ORD040"/>
    <x v="36"/>
    <x v="1"/>
    <s v="Ahmedabad"/>
    <x v="1"/>
    <s v="New"/>
    <x v="1"/>
    <x v="7"/>
    <n v="5"/>
    <x v="39"/>
    <n v="4655"/>
    <s v="Amit"/>
    <n v="1898"/>
    <n v="0.28963833358766977"/>
  </r>
  <r>
    <s v="ORD041"/>
    <x v="37"/>
    <x v="1"/>
    <s v="Pune"/>
    <x v="1"/>
    <s v="Repeat"/>
    <x v="0"/>
    <x v="0"/>
    <n v="5"/>
    <x v="40"/>
    <n v="822"/>
    <s v="Kiran"/>
    <n v="604"/>
    <n v="0.42356241234221598"/>
  </r>
  <r>
    <s v="ORD042"/>
    <x v="37"/>
    <x v="0"/>
    <s v="Bengaluru"/>
    <x v="0"/>
    <s v="Repeat"/>
    <x v="1"/>
    <x v="5"/>
    <n v="4"/>
    <x v="41"/>
    <n v="2790"/>
    <s v="Suman"/>
    <n v="2183"/>
    <n v="0.43897044037804145"/>
  </r>
  <r>
    <s v="ORD043"/>
    <x v="38"/>
    <x v="0"/>
    <s v="Hyderabad"/>
    <x v="1"/>
    <s v="Repeat"/>
    <x v="2"/>
    <x v="6"/>
    <n v="10"/>
    <x v="42"/>
    <n v="4254"/>
    <s v="Suman"/>
    <n v="1689"/>
    <n v="0.28419989904088844"/>
  </r>
  <r>
    <s v="ORD044"/>
    <x v="39"/>
    <x v="1"/>
    <s v="Ahmedabad"/>
    <x v="1"/>
    <s v="New"/>
    <x v="1"/>
    <x v="5"/>
    <n v="5"/>
    <x v="43"/>
    <n v="5750"/>
    <s v="Kiran"/>
    <n v="4133"/>
    <n v="0.41819285642011533"/>
  </r>
  <r>
    <s v="ORD045"/>
    <x v="40"/>
    <x v="1"/>
    <s v="Ahmedabad"/>
    <x v="1"/>
    <s v="Repeat"/>
    <x v="1"/>
    <x v="5"/>
    <n v="1"/>
    <x v="44"/>
    <n v="3592"/>
    <s v="Suman"/>
    <n v="2186"/>
    <n v="0.37833160263066806"/>
  </r>
  <r>
    <s v="ORD046"/>
    <x v="41"/>
    <x v="3"/>
    <s v="Patna"/>
    <x v="0"/>
    <s v="Repeat"/>
    <x v="2"/>
    <x v="8"/>
    <n v="9"/>
    <x v="45"/>
    <n v="6400"/>
    <s v="Kiran"/>
    <n v="2152"/>
    <n v="0.25163704396632369"/>
  </r>
  <r>
    <s v="ORD047"/>
    <x v="42"/>
    <x v="1"/>
    <s v="Mumbai"/>
    <x v="0"/>
    <s v="New"/>
    <x v="0"/>
    <x v="1"/>
    <n v="5"/>
    <x v="46"/>
    <n v="3367"/>
    <s v="Suman"/>
    <n v="1113"/>
    <n v="0.24843750000000001"/>
  </r>
  <r>
    <s v="ORD048"/>
    <x v="43"/>
    <x v="0"/>
    <s v="Chennai"/>
    <x v="1"/>
    <s v="New"/>
    <x v="1"/>
    <x v="2"/>
    <n v="10"/>
    <x v="47"/>
    <n v="2907"/>
    <s v="Ravi"/>
    <n v="1078"/>
    <n v="0.27051442910915935"/>
  </r>
  <r>
    <s v="ORD049"/>
    <x v="44"/>
    <x v="0"/>
    <s v="Hyderabad"/>
    <x v="1"/>
    <s v="New"/>
    <x v="0"/>
    <x v="4"/>
    <n v="4"/>
    <x v="48"/>
    <n v="2764"/>
    <s v="Kiran"/>
    <n v="917"/>
    <n v="0.24911708774789459"/>
  </r>
  <r>
    <s v="ORD050"/>
    <x v="13"/>
    <x v="2"/>
    <s v="Noida"/>
    <x v="1"/>
    <s v="Repeat"/>
    <x v="0"/>
    <x v="4"/>
    <n v="3"/>
    <x v="49"/>
    <n v="9279"/>
    <s v="Kiran"/>
    <n v="4651"/>
    <n v="0.33388370423546304"/>
  </r>
  <r>
    <s v="ORD051"/>
    <x v="45"/>
    <x v="3"/>
    <s v="Bhubaneswar"/>
    <x v="0"/>
    <s v="Repeat"/>
    <x v="2"/>
    <x v="6"/>
    <n v="3"/>
    <x v="50"/>
    <n v="9937"/>
    <s v="Kiran"/>
    <n v="3047"/>
    <n v="0.23467344423906347"/>
  </r>
  <r>
    <s v="ORD052"/>
    <x v="46"/>
    <x v="3"/>
    <s v="Kolkata"/>
    <x v="1"/>
    <s v="Repeat"/>
    <x v="2"/>
    <x v="8"/>
    <n v="5"/>
    <x v="51"/>
    <n v="4558"/>
    <s v="Neha"/>
    <n v="3448"/>
    <n v="0.43067699225580813"/>
  </r>
  <r>
    <s v="ORD053"/>
    <x v="29"/>
    <x v="0"/>
    <s v="Bengaluru"/>
    <x v="0"/>
    <s v="Repeat"/>
    <x v="0"/>
    <x v="1"/>
    <n v="4"/>
    <x v="52"/>
    <n v="5118"/>
    <s v="Suman"/>
    <n v="1957"/>
    <n v="0.27660777385159013"/>
  </r>
  <r>
    <s v="ORD054"/>
    <x v="39"/>
    <x v="1"/>
    <s v="Pune"/>
    <x v="0"/>
    <s v="Repeat"/>
    <x v="2"/>
    <x v="6"/>
    <n v="7"/>
    <x v="53"/>
    <n v="1095"/>
    <s v="Suman"/>
    <n v="725"/>
    <n v="0.39835164835164832"/>
  </r>
  <r>
    <s v="ORD055"/>
    <x v="39"/>
    <x v="0"/>
    <s v="Hyderabad"/>
    <x v="0"/>
    <s v="Repeat"/>
    <x v="1"/>
    <x v="2"/>
    <n v="7"/>
    <x v="54"/>
    <n v="11425"/>
    <s v="Ravi"/>
    <n v="3357"/>
    <n v="0.22710052766878636"/>
  </r>
  <r>
    <s v="ORD056"/>
    <x v="47"/>
    <x v="1"/>
    <s v="Pune"/>
    <x v="0"/>
    <s v="Repeat"/>
    <x v="1"/>
    <x v="2"/>
    <n v="1"/>
    <x v="55"/>
    <n v="4546"/>
    <s v="Ravi"/>
    <n v="2625"/>
    <n v="0.36605773253381674"/>
  </r>
  <r>
    <s v="ORD057"/>
    <x v="48"/>
    <x v="0"/>
    <s v="Chennai"/>
    <x v="0"/>
    <s v="Repeat"/>
    <x v="1"/>
    <x v="5"/>
    <n v="10"/>
    <x v="56"/>
    <n v="6493"/>
    <s v="Ravi"/>
    <n v="5169"/>
    <n v="0.44323443663179557"/>
  </r>
  <r>
    <s v="ORD058"/>
    <x v="49"/>
    <x v="0"/>
    <s v="Chennai"/>
    <x v="1"/>
    <s v="Repeat"/>
    <x v="1"/>
    <x v="2"/>
    <n v="6"/>
    <x v="57"/>
    <n v="2831"/>
    <s v="Neha"/>
    <n v="1436"/>
    <n v="0.33653620810874152"/>
  </r>
  <r>
    <s v="ORD059"/>
    <x v="50"/>
    <x v="0"/>
    <s v="Bengaluru"/>
    <x v="0"/>
    <s v="New"/>
    <x v="1"/>
    <x v="7"/>
    <n v="9"/>
    <x v="58"/>
    <n v="1322"/>
    <s v="Amit"/>
    <n v="331"/>
    <n v="0.20024198427102238"/>
  </r>
  <r>
    <s v="ORD060"/>
    <x v="18"/>
    <x v="2"/>
    <s v="Noida"/>
    <x v="0"/>
    <s v="New"/>
    <x v="0"/>
    <x v="1"/>
    <n v="10"/>
    <x v="59"/>
    <n v="2009"/>
    <s v="Suman"/>
    <n v="1287"/>
    <n v="0.39047330097087379"/>
  </r>
  <r>
    <s v="ORD061"/>
    <x v="51"/>
    <x v="1"/>
    <s v="Mumbai"/>
    <x v="1"/>
    <s v="New"/>
    <x v="1"/>
    <x v="7"/>
    <n v="10"/>
    <x v="60"/>
    <n v="8501"/>
    <s v="Kiran"/>
    <n v="2248"/>
    <n v="0.20913573355660992"/>
  </r>
  <r>
    <s v="ORD062"/>
    <x v="52"/>
    <x v="0"/>
    <s v="Bengaluru"/>
    <x v="0"/>
    <s v="New"/>
    <x v="1"/>
    <x v="5"/>
    <n v="7"/>
    <x v="61"/>
    <n v="5731"/>
    <s v="Neha"/>
    <n v="1567"/>
    <n v="0.21471636064675254"/>
  </r>
  <r>
    <s v="ORD063"/>
    <x v="53"/>
    <x v="0"/>
    <s v="Bengaluru"/>
    <x v="1"/>
    <s v="New"/>
    <x v="2"/>
    <x v="8"/>
    <n v="6"/>
    <x v="62"/>
    <n v="6260"/>
    <s v="Suman"/>
    <n v="3268"/>
    <n v="0.34298908480268681"/>
  </r>
  <r>
    <s v="ORD064"/>
    <x v="3"/>
    <x v="3"/>
    <s v="Patna"/>
    <x v="0"/>
    <s v="Repeat"/>
    <x v="0"/>
    <x v="4"/>
    <n v="6"/>
    <x v="63"/>
    <n v="8666"/>
    <s v="Ravi"/>
    <n v="2547"/>
    <n v="0.22714706144653526"/>
  </r>
  <r>
    <s v="ORD065"/>
    <x v="54"/>
    <x v="1"/>
    <s v="Pune"/>
    <x v="1"/>
    <s v="New"/>
    <x v="2"/>
    <x v="3"/>
    <n v="8"/>
    <x v="64"/>
    <n v="5545"/>
    <s v="Amit"/>
    <n v="2871"/>
    <n v="0.34113593155893535"/>
  </r>
  <r>
    <s v="ORD066"/>
    <x v="55"/>
    <x v="1"/>
    <s v="Pune"/>
    <x v="0"/>
    <s v="Repeat"/>
    <x v="1"/>
    <x v="7"/>
    <n v="8"/>
    <x v="65"/>
    <n v="7121"/>
    <s v="Neha"/>
    <n v="3015"/>
    <n v="0.29745461720599842"/>
  </r>
  <r>
    <s v="ORD067"/>
    <x v="17"/>
    <x v="2"/>
    <s v="Noida"/>
    <x v="1"/>
    <s v="New"/>
    <x v="1"/>
    <x v="7"/>
    <n v="6"/>
    <x v="66"/>
    <n v="8524"/>
    <s v="Kiran"/>
    <n v="5347"/>
    <n v="0.38548049888256075"/>
  </r>
  <r>
    <s v="ORD068"/>
    <x v="56"/>
    <x v="2"/>
    <s v="Noida"/>
    <x v="1"/>
    <s v="Repeat"/>
    <x v="0"/>
    <x v="1"/>
    <n v="7"/>
    <x v="67"/>
    <n v="6064"/>
    <s v="Suman"/>
    <n v="2740"/>
    <n v="0.31122217174011813"/>
  </r>
  <r>
    <s v="ORD069"/>
    <x v="57"/>
    <x v="0"/>
    <s v="Hyderabad"/>
    <x v="1"/>
    <s v="Repeat"/>
    <x v="0"/>
    <x v="4"/>
    <n v="4"/>
    <x v="68"/>
    <n v="5367"/>
    <s v="Kiran"/>
    <n v="2058"/>
    <n v="0.27717171717171718"/>
  </r>
  <r>
    <s v="ORD070"/>
    <x v="58"/>
    <x v="1"/>
    <s v="Pune"/>
    <x v="1"/>
    <s v="Repeat"/>
    <x v="1"/>
    <x v="5"/>
    <n v="9"/>
    <x v="69"/>
    <n v="3967"/>
    <s v="Ravi"/>
    <n v="2252"/>
    <n v="0.36211609583534332"/>
  </r>
  <r>
    <s v="ORD071"/>
    <x v="59"/>
    <x v="0"/>
    <s v="Bengaluru"/>
    <x v="0"/>
    <s v="New"/>
    <x v="2"/>
    <x v="8"/>
    <n v="6"/>
    <x v="70"/>
    <n v="2029"/>
    <s v="Suman"/>
    <n v="729"/>
    <n v="0.26432197244379985"/>
  </r>
  <r>
    <s v="ORD072"/>
    <x v="60"/>
    <x v="1"/>
    <s v="Mumbai"/>
    <x v="1"/>
    <s v="New"/>
    <x v="2"/>
    <x v="3"/>
    <n v="9"/>
    <x v="71"/>
    <n v="6565"/>
    <s v="Neha"/>
    <n v="4012"/>
    <n v="0.3793136049919637"/>
  </r>
  <r>
    <s v="ORD073"/>
    <x v="19"/>
    <x v="2"/>
    <s v="Noida"/>
    <x v="1"/>
    <s v="New"/>
    <x v="1"/>
    <x v="7"/>
    <n v="9"/>
    <x v="72"/>
    <n v="1777"/>
    <s v="Suman"/>
    <n v="1096"/>
    <n v="0.38148277062304209"/>
  </r>
  <r>
    <s v="ORD074"/>
    <x v="61"/>
    <x v="0"/>
    <s v="Bengaluru"/>
    <x v="0"/>
    <s v="Repeat"/>
    <x v="0"/>
    <x v="0"/>
    <n v="5"/>
    <x v="73"/>
    <n v="5685"/>
    <s v="Suman"/>
    <n v="2805"/>
    <n v="0.33038869257950532"/>
  </r>
  <r>
    <s v="ORD075"/>
    <x v="62"/>
    <x v="0"/>
    <s v="Bengaluru"/>
    <x v="0"/>
    <s v="New"/>
    <x v="0"/>
    <x v="4"/>
    <n v="8"/>
    <x v="74"/>
    <n v="1397"/>
    <s v="Kiran"/>
    <n v="616"/>
    <n v="0.30601092896174864"/>
  </r>
  <r>
    <s v="ORD076"/>
    <x v="63"/>
    <x v="1"/>
    <s v="Ahmedabad"/>
    <x v="0"/>
    <s v="Repeat"/>
    <x v="0"/>
    <x v="1"/>
    <n v="2"/>
    <x v="75"/>
    <n v="7368"/>
    <s v="Suman"/>
    <n v="2575"/>
    <n v="0.25897616413557278"/>
  </r>
  <r>
    <s v="ORD077"/>
    <x v="22"/>
    <x v="3"/>
    <s v="Patna"/>
    <x v="0"/>
    <s v="New"/>
    <x v="1"/>
    <x v="5"/>
    <n v="7"/>
    <x v="76"/>
    <n v="4016"/>
    <s v="Ravi"/>
    <n v="1787"/>
    <n v="0.30794416681027054"/>
  </r>
  <r>
    <s v="ORD078"/>
    <x v="64"/>
    <x v="1"/>
    <s v="Mumbai"/>
    <x v="0"/>
    <s v="Repeat"/>
    <x v="2"/>
    <x v="8"/>
    <n v="3"/>
    <x v="77"/>
    <n v="2806"/>
    <s v="Suman"/>
    <n v="1923"/>
    <n v="0.40663988158172976"/>
  </r>
  <r>
    <s v="ORD079"/>
    <x v="34"/>
    <x v="3"/>
    <s v="Bhubaneswar"/>
    <x v="0"/>
    <s v="New"/>
    <x v="1"/>
    <x v="7"/>
    <n v="4"/>
    <x v="78"/>
    <n v="4011"/>
    <s v="Neha"/>
    <n v="1509"/>
    <n v="0.27336956521739131"/>
  </r>
  <r>
    <s v="ORD080"/>
    <x v="65"/>
    <x v="2"/>
    <s v="Delhi"/>
    <x v="0"/>
    <s v="New"/>
    <x v="1"/>
    <x v="7"/>
    <n v="9"/>
    <x v="79"/>
    <n v="3191"/>
    <s v="Ravi"/>
    <n v="1292"/>
    <n v="0.28819986616105286"/>
  </r>
  <r>
    <s v="ORD081"/>
    <x v="66"/>
    <x v="1"/>
    <s v="Ahmedabad"/>
    <x v="1"/>
    <s v="Repeat"/>
    <x v="2"/>
    <x v="3"/>
    <n v="10"/>
    <x v="80"/>
    <n v="3647"/>
    <s v="Neha"/>
    <n v="1881"/>
    <n v="0.34026772793053545"/>
  </r>
  <r>
    <s v="ORD082"/>
    <x v="67"/>
    <x v="3"/>
    <s v="Patna"/>
    <x v="1"/>
    <s v="New"/>
    <x v="1"/>
    <x v="7"/>
    <n v="10"/>
    <x v="81"/>
    <n v="1122"/>
    <s v="Amit"/>
    <n v="331"/>
    <n v="0.2278045423262216"/>
  </r>
  <r>
    <s v="ORD083"/>
    <x v="68"/>
    <x v="2"/>
    <s v="Gurgaon"/>
    <x v="0"/>
    <s v="New"/>
    <x v="2"/>
    <x v="3"/>
    <n v="10"/>
    <x v="82"/>
    <n v="911"/>
    <s v="Suman"/>
    <n v="228"/>
    <n v="0.20017559262510976"/>
  </r>
  <r>
    <s v="ORD084"/>
    <x v="69"/>
    <x v="3"/>
    <s v="Kolkata"/>
    <x v="1"/>
    <s v="Repeat"/>
    <x v="1"/>
    <x v="7"/>
    <n v="10"/>
    <x v="83"/>
    <n v="5627"/>
    <s v="Suman"/>
    <n v="2314"/>
    <n v="0.29139906812743988"/>
  </r>
  <r>
    <s v="ORD085"/>
    <x v="70"/>
    <x v="1"/>
    <s v="Ahmedabad"/>
    <x v="1"/>
    <s v="Repeat"/>
    <x v="1"/>
    <x v="5"/>
    <n v="2"/>
    <x v="84"/>
    <n v="8766"/>
    <s v="Suman"/>
    <n v="6087"/>
    <n v="0.40981619874772773"/>
  </r>
  <r>
    <s v="ORD086"/>
    <x v="71"/>
    <x v="0"/>
    <s v="Hyderabad"/>
    <x v="0"/>
    <s v="Repeat"/>
    <x v="1"/>
    <x v="7"/>
    <n v="6"/>
    <x v="85"/>
    <n v="3113"/>
    <s v="Suman"/>
    <n v="1822"/>
    <n v="0.36919959473150965"/>
  </r>
  <r>
    <s v="ORD087"/>
    <x v="72"/>
    <x v="0"/>
    <s v="Chennai"/>
    <x v="0"/>
    <s v="New"/>
    <x v="0"/>
    <x v="0"/>
    <n v="6"/>
    <x v="86"/>
    <n v="8130"/>
    <s v="Neha"/>
    <n v="2871"/>
    <n v="0.26097627488410147"/>
  </r>
  <r>
    <s v="ORD088"/>
    <x v="73"/>
    <x v="2"/>
    <s v="Noida"/>
    <x v="0"/>
    <s v="New"/>
    <x v="1"/>
    <x v="2"/>
    <n v="8"/>
    <x v="87"/>
    <n v="1554"/>
    <s v="Neha"/>
    <n v="1235"/>
    <n v="0.44281104338472571"/>
  </r>
  <r>
    <s v="ORD089"/>
    <x v="51"/>
    <x v="0"/>
    <s v="Chennai"/>
    <x v="0"/>
    <s v="New"/>
    <x v="2"/>
    <x v="6"/>
    <n v="2"/>
    <x v="88"/>
    <n v="3576"/>
    <s v="Suman"/>
    <n v="905"/>
    <n v="0.20196384735550099"/>
  </r>
  <r>
    <s v="ORD090"/>
    <x v="74"/>
    <x v="1"/>
    <s v="Mumbai"/>
    <x v="1"/>
    <s v="New"/>
    <x v="2"/>
    <x v="3"/>
    <n v="5"/>
    <x v="89"/>
    <n v="5771"/>
    <s v="Suman"/>
    <n v="1836"/>
    <n v="0.24135664519521494"/>
  </r>
  <r>
    <s v="ORD091"/>
    <x v="75"/>
    <x v="2"/>
    <s v="Gurgaon"/>
    <x v="1"/>
    <s v="New"/>
    <x v="2"/>
    <x v="3"/>
    <n v="3"/>
    <x v="90"/>
    <n v="8486"/>
    <s v="Neha"/>
    <n v="6470"/>
    <n v="0.43260230008023537"/>
  </r>
  <r>
    <s v="ORD092"/>
    <x v="76"/>
    <x v="1"/>
    <s v="Pune"/>
    <x v="1"/>
    <s v="Repeat"/>
    <x v="2"/>
    <x v="3"/>
    <n v="8"/>
    <x v="91"/>
    <n v="8793"/>
    <s v="Kiran"/>
    <n v="6183"/>
    <n v="0.41286057692307693"/>
  </r>
  <r>
    <s v="ORD093"/>
    <x v="43"/>
    <x v="3"/>
    <s v="Kolkata"/>
    <x v="1"/>
    <s v="New"/>
    <x v="1"/>
    <x v="2"/>
    <n v="4"/>
    <x v="92"/>
    <n v="7454"/>
    <s v="Neha"/>
    <n v="4773"/>
    <n v="0.39036558436247648"/>
  </r>
  <r>
    <s v="ORD094"/>
    <x v="77"/>
    <x v="3"/>
    <s v="Kolkata"/>
    <x v="1"/>
    <s v="New"/>
    <x v="2"/>
    <x v="6"/>
    <n v="7"/>
    <x v="93"/>
    <n v="8732"/>
    <s v="Ravi"/>
    <n v="2941"/>
    <n v="0.25194894200291268"/>
  </r>
  <r>
    <s v="ORD095"/>
    <x v="78"/>
    <x v="1"/>
    <s v="Ahmedabad"/>
    <x v="0"/>
    <s v="Repeat"/>
    <x v="0"/>
    <x v="4"/>
    <n v="2"/>
    <x v="94"/>
    <n v="7322"/>
    <s v="Ravi"/>
    <n v="2095"/>
    <n v="0.22247000106190931"/>
  </r>
  <r>
    <s v="ORD096"/>
    <x v="77"/>
    <x v="0"/>
    <s v="Bengaluru"/>
    <x v="1"/>
    <s v="Repeat"/>
    <x v="1"/>
    <x v="2"/>
    <n v="6"/>
    <x v="95"/>
    <n v="7962"/>
    <s v="Neha"/>
    <n v="3049"/>
    <n v="0.27690491326854966"/>
  </r>
  <r>
    <s v="ORD097"/>
    <x v="62"/>
    <x v="3"/>
    <s v="Bhubaneswar"/>
    <x v="0"/>
    <s v="New"/>
    <x v="2"/>
    <x v="8"/>
    <n v="10"/>
    <x v="96"/>
    <n v="1169"/>
    <s v="Suman"/>
    <n v="752"/>
    <n v="0.39146277980218636"/>
  </r>
  <r>
    <s v="ORD098"/>
    <x v="27"/>
    <x v="0"/>
    <s v="Bengaluru"/>
    <x v="0"/>
    <s v="Repeat"/>
    <x v="2"/>
    <x v="3"/>
    <n v="2"/>
    <x v="97"/>
    <n v="4773"/>
    <s v="Amit"/>
    <n v="3296"/>
    <n v="0.40847688685091088"/>
  </r>
  <r>
    <s v="ORD099"/>
    <x v="70"/>
    <x v="1"/>
    <s v="Ahmedabad"/>
    <x v="0"/>
    <s v="New"/>
    <x v="1"/>
    <x v="2"/>
    <n v="7"/>
    <x v="98"/>
    <n v="1946"/>
    <s v="Ravi"/>
    <n v="1239"/>
    <n v="0.38901098901098902"/>
  </r>
  <r>
    <s v="ORD100"/>
    <x v="9"/>
    <x v="0"/>
    <s v="Bengaluru"/>
    <x v="0"/>
    <s v="Repeat"/>
    <x v="2"/>
    <x v="6"/>
    <n v="10"/>
    <x v="99"/>
    <n v="7317"/>
    <s v="Neha"/>
    <n v="4675"/>
    <n v="0.38984322881921279"/>
  </r>
  <r>
    <s v="ORD101"/>
    <x v="46"/>
    <x v="3"/>
    <s v="Patna"/>
    <x v="0"/>
    <s v="New"/>
    <x v="1"/>
    <x v="5"/>
    <n v="1"/>
    <x v="100"/>
    <n v="9317"/>
    <s v="Suman"/>
    <n v="4666"/>
    <n v="0.33369091039118931"/>
  </r>
  <r>
    <s v="ORD102"/>
    <x v="79"/>
    <x v="1"/>
    <s v="Mumbai"/>
    <x v="1"/>
    <s v="Repeat"/>
    <x v="2"/>
    <x v="6"/>
    <n v="7"/>
    <x v="101"/>
    <n v="7417"/>
    <s v="Amit"/>
    <n v="4693"/>
    <n v="0.38753096614368293"/>
  </r>
  <r>
    <s v="ORD103"/>
    <x v="34"/>
    <x v="2"/>
    <s v="Gurgaon"/>
    <x v="0"/>
    <s v="Repeat"/>
    <x v="1"/>
    <x v="5"/>
    <n v="6"/>
    <x v="102"/>
    <n v="6375"/>
    <s v="Neha"/>
    <n v="3842"/>
    <n v="0.37603993344425957"/>
  </r>
  <r>
    <s v="ORD104"/>
    <x v="46"/>
    <x v="0"/>
    <s v="Bengaluru"/>
    <x v="1"/>
    <s v="New"/>
    <x v="2"/>
    <x v="3"/>
    <n v="1"/>
    <x v="103"/>
    <n v="7904"/>
    <s v="Ravi"/>
    <n v="2831"/>
    <n v="0.26371681415929205"/>
  </r>
  <r>
    <s v="ORD105"/>
    <x v="72"/>
    <x v="1"/>
    <s v="Ahmedabad"/>
    <x v="0"/>
    <s v="Repeat"/>
    <x v="2"/>
    <x v="3"/>
    <n v="3"/>
    <x v="104"/>
    <n v="6370"/>
    <s v="Suman"/>
    <n v="4723"/>
    <n v="0.42576399531235914"/>
  </r>
  <r>
    <s v="ORD106"/>
    <x v="80"/>
    <x v="0"/>
    <s v="Hyderabad"/>
    <x v="1"/>
    <s v="New"/>
    <x v="2"/>
    <x v="6"/>
    <n v="3"/>
    <x v="105"/>
    <n v="1769"/>
    <s v="Ravi"/>
    <n v="507"/>
    <n v="0.22275922671353252"/>
  </r>
  <r>
    <s v="ORD107"/>
    <x v="81"/>
    <x v="2"/>
    <s v="Gurgaon"/>
    <x v="1"/>
    <s v="Repeat"/>
    <x v="2"/>
    <x v="6"/>
    <n v="9"/>
    <x v="106"/>
    <n v="7021"/>
    <s v="Neha"/>
    <n v="2000"/>
    <n v="0.22170491076377341"/>
  </r>
  <r>
    <s v="ORD108"/>
    <x v="47"/>
    <x v="0"/>
    <s v="Hyderabad"/>
    <x v="1"/>
    <s v="Repeat"/>
    <x v="1"/>
    <x v="7"/>
    <n v="3"/>
    <x v="107"/>
    <n v="10414"/>
    <s v="Amit"/>
    <n v="2742"/>
    <n v="0.20842201276983885"/>
  </r>
  <r>
    <s v="ORD109"/>
    <x v="68"/>
    <x v="3"/>
    <s v="Patna"/>
    <x v="1"/>
    <s v="Repeat"/>
    <x v="0"/>
    <x v="4"/>
    <n v="9"/>
    <x v="108"/>
    <n v="1874"/>
    <s v="Neha"/>
    <n v="950"/>
    <n v="0.33640226628895187"/>
  </r>
  <r>
    <s v="ORD110"/>
    <x v="1"/>
    <x v="0"/>
    <s v="Chennai"/>
    <x v="0"/>
    <s v="New"/>
    <x v="2"/>
    <x v="8"/>
    <n v="8"/>
    <x v="109"/>
    <n v="852"/>
    <s v="Suman"/>
    <n v="358"/>
    <n v="0.29586776859504132"/>
  </r>
  <r>
    <s v="ORD111"/>
    <x v="82"/>
    <x v="1"/>
    <s v="Pune"/>
    <x v="1"/>
    <s v="New"/>
    <x v="2"/>
    <x v="6"/>
    <n v="2"/>
    <x v="110"/>
    <n v="1734"/>
    <s v="Amit"/>
    <n v="1356"/>
    <n v="0.43883495145631068"/>
  </r>
  <r>
    <s v="ORD112"/>
    <x v="44"/>
    <x v="2"/>
    <s v="Noida"/>
    <x v="1"/>
    <s v="New"/>
    <x v="2"/>
    <x v="8"/>
    <n v="7"/>
    <x v="111"/>
    <n v="5291"/>
    <s v="Suman"/>
    <n v="2941"/>
    <n v="0.35726433430515064"/>
  </r>
  <r>
    <s v="ORD113"/>
    <x v="53"/>
    <x v="0"/>
    <s v="Bengaluru"/>
    <x v="1"/>
    <s v="Repeat"/>
    <x v="1"/>
    <x v="5"/>
    <n v="7"/>
    <x v="112"/>
    <n v="3004"/>
    <s v="Ravi"/>
    <n v="2379"/>
    <n v="0.4419468697752183"/>
  </r>
  <r>
    <s v="ORD114"/>
    <x v="83"/>
    <x v="1"/>
    <s v="Pune"/>
    <x v="0"/>
    <s v="Repeat"/>
    <x v="0"/>
    <x v="0"/>
    <n v="6"/>
    <x v="113"/>
    <n v="7537"/>
    <s v="Neha"/>
    <n v="2183"/>
    <n v="0.22458847736625515"/>
  </r>
  <r>
    <s v="ORD115"/>
    <x v="84"/>
    <x v="2"/>
    <s v="Noida"/>
    <x v="0"/>
    <s v="New"/>
    <x v="0"/>
    <x v="4"/>
    <n v="2"/>
    <x v="114"/>
    <n v="7030"/>
    <s v="Neha"/>
    <n v="4628"/>
    <n v="0.39698061417052666"/>
  </r>
  <r>
    <s v="ORD116"/>
    <x v="11"/>
    <x v="2"/>
    <s v="Delhi"/>
    <x v="0"/>
    <s v="New"/>
    <x v="0"/>
    <x v="0"/>
    <n v="4"/>
    <x v="115"/>
    <n v="1457"/>
    <s v="Neha"/>
    <n v="467"/>
    <n v="0.24272349272349272"/>
  </r>
  <r>
    <s v="ORD117"/>
    <x v="85"/>
    <x v="2"/>
    <s v="Noida"/>
    <x v="1"/>
    <s v="New"/>
    <x v="2"/>
    <x v="8"/>
    <n v="5"/>
    <x v="116"/>
    <n v="11831"/>
    <s v="Amit"/>
    <n v="3033"/>
    <n v="0.20405005382131325"/>
  </r>
  <r>
    <s v="ORD118"/>
    <x v="16"/>
    <x v="0"/>
    <s v="Chennai"/>
    <x v="0"/>
    <s v="New"/>
    <x v="0"/>
    <x v="1"/>
    <n v="6"/>
    <x v="117"/>
    <n v="10267"/>
    <s v="Neha"/>
    <n v="3476"/>
    <n v="0.25292876373426471"/>
  </r>
  <r>
    <s v="ORD119"/>
    <x v="86"/>
    <x v="0"/>
    <s v="Chennai"/>
    <x v="1"/>
    <s v="Repeat"/>
    <x v="0"/>
    <x v="0"/>
    <n v="7"/>
    <x v="118"/>
    <n v="5448"/>
    <s v="Kiran"/>
    <n v="3971"/>
    <n v="0.42159464911349398"/>
  </r>
  <r>
    <s v="ORD120"/>
    <x v="26"/>
    <x v="0"/>
    <s v="Hyderabad"/>
    <x v="1"/>
    <s v="Repeat"/>
    <x v="1"/>
    <x v="5"/>
    <n v="4"/>
    <x v="119"/>
    <n v="6100"/>
    <s v="Amit"/>
    <n v="4777"/>
    <n v="0.4391835984186816"/>
  </r>
  <r>
    <s v="ORD121"/>
    <x v="87"/>
    <x v="0"/>
    <s v="Bengaluru"/>
    <x v="0"/>
    <s v="Repeat"/>
    <x v="1"/>
    <x v="2"/>
    <n v="7"/>
    <x v="120"/>
    <n v="6947"/>
    <s v="Kiran"/>
    <n v="5094"/>
    <n v="0.42305456357445392"/>
  </r>
  <r>
    <s v="ORD122"/>
    <x v="88"/>
    <x v="2"/>
    <s v="Noida"/>
    <x v="1"/>
    <s v="Repeat"/>
    <x v="0"/>
    <x v="1"/>
    <n v="5"/>
    <x v="121"/>
    <n v="7810"/>
    <s v="Kiran"/>
    <n v="3218"/>
    <n v="0.29180268407689519"/>
  </r>
  <r>
    <s v="ORD123"/>
    <x v="34"/>
    <x v="1"/>
    <s v="Mumbai"/>
    <x v="0"/>
    <s v="Repeat"/>
    <x v="1"/>
    <x v="5"/>
    <n v="10"/>
    <x v="122"/>
    <n v="4510"/>
    <s v="Suman"/>
    <n v="3338"/>
    <n v="0.42533129459734964"/>
  </r>
  <r>
    <s v="ORD124"/>
    <x v="89"/>
    <x v="2"/>
    <s v="Gurgaon"/>
    <x v="1"/>
    <s v="Repeat"/>
    <x v="1"/>
    <x v="2"/>
    <n v="8"/>
    <x v="123"/>
    <n v="4795"/>
    <s v="Neha"/>
    <n v="2537"/>
    <n v="0.34601745771958536"/>
  </r>
  <r>
    <s v="ORD125"/>
    <x v="90"/>
    <x v="1"/>
    <s v="Mumbai"/>
    <x v="1"/>
    <s v="New"/>
    <x v="0"/>
    <x v="0"/>
    <n v="8"/>
    <x v="124"/>
    <n v="1087"/>
    <s v="Neha"/>
    <n v="812"/>
    <n v="0.42759347024749866"/>
  </r>
  <r>
    <s v="ORD126"/>
    <x v="91"/>
    <x v="2"/>
    <s v="Delhi"/>
    <x v="1"/>
    <s v="Repeat"/>
    <x v="2"/>
    <x v="8"/>
    <n v="10"/>
    <x v="125"/>
    <n v="6904"/>
    <s v="Suman"/>
    <n v="3097"/>
    <n v="0.3096690330966903"/>
  </r>
  <r>
    <s v="ORD127"/>
    <x v="28"/>
    <x v="0"/>
    <s v="Bengaluru"/>
    <x v="0"/>
    <s v="Repeat"/>
    <x v="1"/>
    <x v="5"/>
    <n v="5"/>
    <x v="126"/>
    <n v="3778"/>
    <s v="Ravi"/>
    <n v="2783"/>
    <n v="0.42417314433775338"/>
  </r>
  <r>
    <s v="ORD128"/>
    <x v="92"/>
    <x v="0"/>
    <s v="Bengaluru"/>
    <x v="1"/>
    <s v="New"/>
    <x v="1"/>
    <x v="5"/>
    <n v="6"/>
    <x v="127"/>
    <n v="1986"/>
    <s v="Kiran"/>
    <n v="696"/>
    <n v="0.25950782997762861"/>
  </r>
  <r>
    <s v="ORD129"/>
    <x v="49"/>
    <x v="1"/>
    <s v="Pune"/>
    <x v="0"/>
    <s v="New"/>
    <x v="0"/>
    <x v="1"/>
    <n v="5"/>
    <x v="128"/>
    <n v="9119"/>
    <s v="Ravi"/>
    <n v="3194"/>
    <n v="0.25940063347681314"/>
  </r>
  <r>
    <s v="ORD130"/>
    <x v="2"/>
    <x v="3"/>
    <s v="Bhubaneswar"/>
    <x v="1"/>
    <s v="Repeat"/>
    <x v="0"/>
    <x v="1"/>
    <n v="1"/>
    <x v="129"/>
    <n v="1696"/>
    <s v="Neha"/>
    <n v="607"/>
    <n v="0.26356925749023014"/>
  </r>
  <r>
    <s v="ORD131"/>
    <x v="25"/>
    <x v="2"/>
    <s v="Delhi"/>
    <x v="0"/>
    <s v="New"/>
    <x v="1"/>
    <x v="2"/>
    <n v="6"/>
    <x v="130"/>
    <n v="10623"/>
    <s v="Ravi"/>
    <n v="2904"/>
    <n v="0.21468174761587935"/>
  </r>
  <r>
    <s v="ORD132"/>
    <x v="93"/>
    <x v="0"/>
    <s v="Hyderabad"/>
    <x v="1"/>
    <s v="Repeat"/>
    <x v="2"/>
    <x v="8"/>
    <n v="5"/>
    <x v="131"/>
    <n v="5766"/>
    <s v="Neha"/>
    <n v="2293"/>
    <n v="0.28452661620548453"/>
  </r>
  <r>
    <s v="ORD133"/>
    <x v="47"/>
    <x v="2"/>
    <s v="Noida"/>
    <x v="1"/>
    <s v="Repeat"/>
    <x v="2"/>
    <x v="8"/>
    <n v="6"/>
    <x v="132"/>
    <n v="4531"/>
    <s v="Amit"/>
    <n v="3312"/>
    <n v="0.42228739002932553"/>
  </r>
  <r>
    <s v="ORD134"/>
    <x v="94"/>
    <x v="2"/>
    <s v="Delhi"/>
    <x v="1"/>
    <s v="Repeat"/>
    <x v="1"/>
    <x v="5"/>
    <n v="1"/>
    <x v="133"/>
    <n v="556"/>
    <s v="Neha"/>
    <n v="369"/>
    <n v="0.3989189189189189"/>
  </r>
  <r>
    <s v="ORD135"/>
    <x v="6"/>
    <x v="0"/>
    <s v="Hyderabad"/>
    <x v="0"/>
    <s v="Repeat"/>
    <x v="0"/>
    <x v="4"/>
    <n v="7"/>
    <x v="134"/>
    <n v="2141"/>
    <s v="Amit"/>
    <n v="1537"/>
    <n v="0.41789015769439913"/>
  </r>
  <r>
    <s v="ORD136"/>
    <x v="64"/>
    <x v="3"/>
    <s v="Bhubaneswar"/>
    <x v="1"/>
    <s v="Repeat"/>
    <x v="2"/>
    <x v="8"/>
    <n v="7"/>
    <x v="135"/>
    <n v="736"/>
    <s v="Suman"/>
    <n v="371"/>
    <n v="0.33514001806684734"/>
  </r>
  <r>
    <s v="ORD137"/>
    <x v="95"/>
    <x v="1"/>
    <s v="Pune"/>
    <x v="1"/>
    <s v="New"/>
    <x v="0"/>
    <x v="4"/>
    <n v="1"/>
    <x v="136"/>
    <n v="3629"/>
    <s v="Suman"/>
    <n v="2492"/>
    <n v="0.40712301911452375"/>
  </r>
  <r>
    <s v="ORD138"/>
    <x v="96"/>
    <x v="0"/>
    <s v="Chennai"/>
    <x v="1"/>
    <s v="New"/>
    <x v="0"/>
    <x v="4"/>
    <n v="10"/>
    <x v="137"/>
    <n v="5012"/>
    <s v="Neha"/>
    <n v="2348"/>
    <n v="0.3190217391304348"/>
  </r>
  <r>
    <s v="ORD139"/>
    <x v="50"/>
    <x v="2"/>
    <s v="Gurgaon"/>
    <x v="0"/>
    <s v="New"/>
    <x v="0"/>
    <x v="0"/>
    <n v="2"/>
    <x v="138"/>
    <n v="6431"/>
    <s v="Amit"/>
    <n v="3062"/>
    <n v="0.32255346044453809"/>
  </r>
  <r>
    <s v="ORD140"/>
    <x v="8"/>
    <x v="2"/>
    <s v="Delhi"/>
    <x v="0"/>
    <s v="Repeat"/>
    <x v="1"/>
    <x v="7"/>
    <n v="3"/>
    <x v="139"/>
    <n v="6275"/>
    <s v="Suman"/>
    <n v="4394"/>
    <n v="0.41184740837941702"/>
  </r>
  <r>
    <s v="ORD141"/>
    <x v="72"/>
    <x v="3"/>
    <s v="Bhubaneswar"/>
    <x v="0"/>
    <s v="Repeat"/>
    <x v="2"/>
    <x v="3"/>
    <n v="10"/>
    <x v="140"/>
    <n v="4669"/>
    <s v="Amit"/>
    <n v="1426"/>
    <n v="0.2339622641509434"/>
  </r>
  <r>
    <s v="ORD142"/>
    <x v="7"/>
    <x v="3"/>
    <s v="Bhubaneswar"/>
    <x v="0"/>
    <s v="Repeat"/>
    <x v="1"/>
    <x v="5"/>
    <n v="5"/>
    <x v="141"/>
    <n v="8566"/>
    <s v="Suman"/>
    <n v="5281"/>
    <n v="0.3813822488625695"/>
  </r>
  <r>
    <s v="ORD143"/>
    <x v="83"/>
    <x v="3"/>
    <s v="Kolkata"/>
    <x v="1"/>
    <s v="Repeat"/>
    <x v="0"/>
    <x v="1"/>
    <n v="6"/>
    <x v="142"/>
    <n v="8969"/>
    <s v="Kiran"/>
    <n v="5457"/>
    <n v="0.37827533619853043"/>
  </r>
  <r>
    <s v="ORD144"/>
    <x v="97"/>
    <x v="0"/>
    <s v="Bengaluru"/>
    <x v="0"/>
    <s v="Repeat"/>
    <x v="1"/>
    <x v="5"/>
    <n v="4"/>
    <x v="143"/>
    <n v="4254"/>
    <s v="Amit"/>
    <n v="1813"/>
    <n v="0.29882973462996537"/>
  </r>
  <r>
    <s v="ORD145"/>
    <x v="32"/>
    <x v="1"/>
    <s v="Ahmedabad"/>
    <x v="1"/>
    <s v="Repeat"/>
    <x v="2"/>
    <x v="8"/>
    <n v="9"/>
    <x v="144"/>
    <n v="6753"/>
    <s v="Kiran"/>
    <n v="4633"/>
    <n v="0.40690321447391531"/>
  </r>
  <r>
    <s v="ORD146"/>
    <x v="49"/>
    <x v="2"/>
    <s v="Noida"/>
    <x v="0"/>
    <s v="Repeat"/>
    <x v="1"/>
    <x v="2"/>
    <n v="5"/>
    <x v="145"/>
    <n v="4661"/>
    <s v="Amit"/>
    <n v="2486"/>
    <n v="0.3478382538127886"/>
  </r>
  <r>
    <s v="ORD147"/>
    <x v="26"/>
    <x v="1"/>
    <s v="Ahmedabad"/>
    <x v="0"/>
    <s v="Repeat"/>
    <x v="0"/>
    <x v="0"/>
    <n v="7"/>
    <x v="146"/>
    <n v="3343"/>
    <s v="Amit"/>
    <n v="2112"/>
    <n v="0.38716773602199817"/>
  </r>
  <r>
    <s v="ORD148"/>
    <x v="90"/>
    <x v="2"/>
    <s v="Gurgaon"/>
    <x v="1"/>
    <s v="Repeat"/>
    <x v="1"/>
    <x v="2"/>
    <n v="7"/>
    <x v="147"/>
    <n v="2034"/>
    <s v="Ravi"/>
    <n v="878"/>
    <n v="0.30151098901098899"/>
  </r>
  <r>
    <s v="ORD149"/>
    <x v="98"/>
    <x v="0"/>
    <s v="Chennai"/>
    <x v="0"/>
    <s v="New"/>
    <x v="2"/>
    <x v="3"/>
    <n v="7"/>
    <x v="148"/>
    <n v="5848"/>
    <s v="Neha"/>
    <n v="3283"/>
    <n v="0.35954440915562369"/>
  </r>
  <r>
    <s v="ORD150"/>
    <x v="60"/>
    <x v="3"/>
    <s v="Patna"/>
    <x v="0"/>
    <s v="Repeat"/>
    <x v="0"/>
    <x v="1"/>
    <n v="3"/>
    <x v="149"/>
    <n v="1900"/>
    <s v="Kiran"/>
    <n v="1438"/>
    <n v="0.43079688436189334"/>
  </r>
  <r>
    <s v="ORD151"/>
    <x v="99"/>
    <x v="2"/>
    <s v="Noida"/>
    <x v="0"/>
    <s v="Repeat"/>
    <x v="2"/>
    <x v="6"/>
    <n v="3"/>
    <x v="150"/>
    <n v="2058"/>
    <s v="Amit"/>
    <n v="1400"/>
    <n v="0.40485829959514169"/>
  </r>
  <r>
    <s v="ORD152"/>
    <x v="100"/>
    <x v="3"/>
    <s v="Kolkata"/>
    <x v="0"/>
    <s v="Repeat"/>
    <x v="1"/>
    <x v="5"/>
    <n v="4"/>
    <x v="151"/>
    <n v="5675"/>
    <s v="Suman"/>
    <n v="2402"/>
    <n v="0.29738764392720068"/>
  </r>
  <r>
    <s v="ORD153"/>
    <x v="101"/>
    <x v="2"/>
    <s v="Gurgaon"/>
    <x v="1"/>
    <s v="New"/>
    <x v="1"/>
    <x v="5"/>
    <n v="10"/>
    <x v="152"/>
    <n v="5335"/>
    <s v="Ravi"/>
    <n v="2683"/>
    <n v="0.33462210027438266"/>
  </r>
  <r>
    <s v="ORD154"/>
    <x v="0"/>
    <x v="2"/>
    <s v="Noida"/>
    <x v="0"/>
    <s v="Repeat"/>
    <x v="1"/>
    <x v="7"/>
    <n v="8"/>
    <x v="153"/>
    <n v="4738"/>
    <s v="Amit"/>
    <n v="2143"/>
    <n v="0.31143729109141111"/>
  </r>
  <r>
    <s v="ORD155"/>
    <x v="102"/>
    <x v="2"/>
    <s v="Delhi"/>
    <x v="1"/>
    <s v="Repeat"/>
    <x v="1"/>
    <x v="2"/>
    <n v="9"/>
    <x v="154"/>
    <n v="2435"/>
    <s v="Amit"/>
    <n v="779"/>
    <n v="0.24237710018668326"/>
  </r>
  <r>
    <s v="ORD156"/>
    <x v="103"/>
    <x v="3"/>
    <s v="Bhubaneswar"/>
    <x v="0"/>
    <s v="New"/>
    <x v="0"/>
    <x v="4"/>
    <n v="9"/>
    <x v="155"/>
    <n v="4217"/>
    <s v="Neha"/>
    <n v="2709"/>
    <n v="0.39113485417268262"/>
  </r>
  <r>
    <s v="ORD157"/>
    <x v="82"/>
    <x v="0"/>
    <s v="Chennai"/>
    <x v="1"/>
    <s v="New"/>
    <x v="2"/>
    <x v="3"/>
    <n v="6"/>
    <x v="156"/>
    <n v="8073"/>
    <s v="Suman"/>
    <n v="5692"/>
    <n v="0.41351253178350889"/>
  </r>
  <r>
    <s v="ORD158"/>
    <x v="104"/>
    <x v="3"/>
    <s v="Patna"/>
    <x v="1"/>
    <s v="New"/>
    <x v="2"/>
    <x v="8"/>
    <n v="2"/>
    <x v="157"/>
    <n v="682"/>
    <s v="Neha"/>
    <n v="429"/>
    <n v="0.38613861386138615"/>
  </r>
  <r>
    <s v="ORD159"/>
    <x v="105"/>
    <x v="2"/>
    <s v="Gurgaon"/>
    <x v="0"/>
    <s v="New"/>
    <x v="1"/>
    <x v="7"/>
    <n v="1"/>
    <x v="158"/>
    <n v="3082"/>
    <s v="Suman"/>
    <n v="1624"/>
    <n v="0.34509137271568213"/>
  </r>
  <r>
    <s v="ORD160"/>
    <x v="106"/>
    <x v="0"/>
    <s v="Chennai"/>
    <x v="0"/>
    <s v="Repeat"/>
    <x v="2"/>
    <x v="3"/>
    <n v="10"/>
    <x v="159"/>
    <n v="3475"/>
    <s v="Ravi"/>
    <n v="1288"/>
    <n v="0.27041780390510184"/>
  </r>
  <r>
    <s v="ORD161"/>
    <x v="4"/>
    <x v="3"/>
    <s v="Patna"/>
    <x v="0"/>
    <s v="Repeat"/>
    <x v="0"/>
    <x v="0"/>
    <n v="2"/>
    <x v="160"/>
    <n v="7441"/>
    <s v="Suman"/>
    <n v="1935"/>
    <n v="0.20637798634812288"/>
  </r>
  <r>
    <s v="ORD162"/>
    <x v="107"/>
    <x v="0"/>
    <s v="Bengaluru"/>
    <x v="1"/>
    <s v="New"/>
    <x v="2"/>
    <x v="6"/>
    <n v="6"/>
    <x v="161"/>
    <n v="3650"/>
    <s v="Amit"/>
    <n v="1305"/>
    <n v="0.26337033299697277"/>
  </r>
  <r>
    <s v="ORD163"/>
    <x v="48"/>
    <x v="1"/>
    <s v="Mumbai"/>
    <x v="1"/>
    <s v="Repeat"/>
    <x v="0"/>
    <x v="1"/>
    <n v="6"/>
    <x v="162"/>
    <n v="6184"/>
    <s v="Ravi"/>
    <n v="3561"/>
    <n v="0.36541816316059517"/>
  </r>
  <r>
    <s v="ORD164"/>
    <x v="108"/>
    <x v="2"/>
    <s v="Delhi"/>
    <x v="0"/>
    <s v="Repeat"/>
    <x v="0"/>
    <x v="0"/>
    <n v="8"/>
    <x v="163"/>
    <n v="875"/>
    <s v="Neha"/>
    <n v="530"/>
    <n v="0.37722419928825623"/>
  </r>
  <r>
    <s v="ORD165"/>
    <x v="109"/>
    <x v="3"/>
    <s v="Bhubaneswar"/>
    <x v="1"/>
    <s v="New"/>
    <x v="2"/>
    <x v="6"/>
    <n v="5"/>
    <x v="164"/>
    <n v="1032"/>
    <s v="Neha"/>
    <n v="367"/>
    <n v="0.26233023588277343"/>
  </r>
  <r>
    <s v="ORD166"/>
    <x v="43"/>
    <x v="1"/>
    <s v="Pune"/>
    <x v="0"/>
    <s v="Repeat"/>
    <x v="0"/>
    <x v="4"/>
    <n v="7"/>
    <x v="165"/>
    <n v="5410"/>
    <s v="Suman"/>
    <n v="1943"/>
    <n v="0.26424588603291171"/>
  </r>
  <r>
    <s v="ORD167"/>
    <x v="40"/>
    <x v="1"/>
    <s v="Ahmedabad"/>
    <x v="0"/>
    <s v="Repeat"/>
    <x v="2"/>
    <x v="6"/>
    <n v="2"/>
    <x v="166"/>
    <n v="8340"/>
    <s v="Neha"/>
    <n v="4372"/>
    <n v="0.34392699811202015"/>
  </r>
  <r>
    <s v="ORD168"/>
    <x v="110"/>
    <x v="0"/>
    <s v="Bengaluru"/>
    <x v="1"/>
    <s v="Repeat"/>
    <x v="0"/>
    <x v="4"/>
    <n v="5"/>
    <x v="167"/>
    <n v="3850"/>
    <s v="Suman"/>
    <n v="1971"/>
    <n v="0.33860161484281054"/>
  </r>
  <r>
    <s v="ORD169"/>
    <x v="7"/>
    <x v="0"/>
    <s v="Bengaluru"/>
    <x v="1"/>
    <s v="Repeat"/>
    <x v="2"/>
    <x v="6"/>
    <n v="10"/>
    <x v="168"/>
    <n v="4903"/>
    <s v="Kiran"/>
    <n v="3023"/>
    <n v="0.38140297754226599"/>
  </r>
  <r>
    <s v="ORD170"/>
    <x v="111"/>
    <x v="2"/>
    <s v="Delhi"/>
    <x v="0"/>
    <s v="New"/>
    <x v="0"/>
    <x v="1"/>
    <n v="10"/>
    <x v="169"/>
    <n v="8876"/>
    <s v="Neha"/>
    <n v="3033"/>
    <n v="0.25468133344529348"/>
  </r>
  <r>
    <s v="ORD171"/>
    <x v="45"/>
    <x v="1"/>
    <s v="Pune"/>
    <x v="1"/>
    <s v="Repeat"/>
    <x v="1"/>
    <x v="5"/>
    <n v="1"/>
    <x v="170"/>
    <n v="6303"/>
    <s v="Amit"/>
    <n v="4410"/>
    <n v="0.41164939792775135"/>
  </r>
  <r>
    <s v="ORD172"/>
    <x v="32"/>
    <x v="2"/>
    <s v="Delhi"/>
    <x v="0"/>
    <s v="New"/>
    <x v="2"/>
    <x v="6"/>
    <n v="7"/>
    <x v="171"/>
    <n v="4238"/>
    <s v="Suman"/>
    <n v="1712"/>
    <n v="0.28773109243697481"/>
  </r>
  <r>
    <s v="ORD173"/>
    <x v="100"/>
    <x v="3"/>
    <s v="Kolkata"/>
    <x v="1"/>
    <s v="Repeat"/>
    <x v="2"/>
    <x v="8"/>
    <n v="5"/>
    <x v="172"/>
    <n v="8301"/>
    <s v="Ravi"/>
    <n v="5196"/>
    <n v="0.38497443876416981"/>
  </r>
  <r>
    <s v="ORD174"/>
    <x v="87"/>
    <x v="0"/>
    <s v="Bengaluru"/>
    <x v="1"/>
    <s v="Repeat"/>
    <x v="0"/>
    <x v="1"/>
    <n v="8"/>
    <x v="173"/>
    <n v="2810"/>
    <s v="Amit"/>
    <n v="818"/>
    <n v="0.22546857772877618"/>
  </r>
  <r>
    <s v="ORD175"/>
    <x v="112"/>
    <x v="1"/>
    <s v="Mumbai"/>
    <x v="0"/>
    <s v="New"/>
    <x v="1"/>
    <x v="7"/>
    <n v="3"/>
    <x v="174"/>
    <n v="8839"/>
    <s v="Ravi"/>
    <n v="4964"/>
    <n v="0.35963196406578279"/>
  </r>
  <r>
    <s v="ORD176"/>
    <x v="11"/>
    <x v="3"/>
    <s v="Kolkata"/>
    <x v="0"/>
    <s v="New"/>
    <x v="0"/>
    <x v="4"/>
    <n v="9"/>
    <x v="175"/>
    <n v="6535"/>
    <s v="Neha"/>
    <n v="3641"/>
    <n v="0.35780267295597484"/>
  </r>
  <r>
    <s v="ORD177"/>
    <x v="113"/>
    <x v="3"/>
    <s v="Patna"/>
    <x v="0"/>
    <s v="New"/>
    <x v="2"/>
    <x v="3"/>
    <n v="8"/>
    <x v="176"/>
    <n v="6143"/>
    <s v="Neha"/>
    <n v="3269"/>
    <n v="0.34732256693582658"/>
  </r>
  <r>
    <s v="ORD178"/>
    <x v="11"/>
    <x v="0"/>
    <s v="Hyderabad"/>
    <x v="0"/>
    <s v="New"/>
    <x v="1"/>
    <x v="2"/>
    <n v="9"/>
    <x v="177"/>
    <n v="3750"/>
    <s v="Suman"/>
    <n v="2694"/>
    <n v="0.41806331471135938"/>
  </r>
  <r>
    <s v="ORD179"/>
    <x v="67"/>
    <x v="0"/>
    <s v="Hyderabad"/>
    <x v="0"/>
    <s v="Repeat"/>
    <x v="0"/>
    <x v="0"/>
    <n v="3"/>
    <x v="178"/>
    <n v="3418"/>
    <s v="Kiran"/>
    <n v="2364"/>
    <n v="0.4088550674507091"/>
  </r>
  <r>
    <s v="ORD180"/>
    <x v="114"/>
    <x v="1"/>
    <s v="Mumbai"/>
    <x v="1"/>
    <s v="New"/>
    <x v="0"/>
    <x v="4"/>
    <n v="4"/>
    <x v="179"/>
    <n v="8840"/>
    <s v="Kiran"/>
    <n v="2364"/>
    <n v="0.21099607283113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D5129F-251A-4866-9CD7-3EB5281218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2:H7" firstHeaderRow="1" firstDataRow="1" firstDataCol="1"/>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axis="axisRow"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Sales_Amount" fld="9" baseField="0" baseItem="0"/>
  </dataFields>
  <formats count="6">
    <format dxfId="1125">
      <pivotArea type="all" dataOnly="0" outline="0" fieldPosition="0"/>
    </format>
    <format dxfId="1124">
      <pivotArea outline="0" collapsedLevelsAreSubtotals="1" fieldPosition="0"/>
    </format>
    <format dxfId="1123">
      <pivotArea field="2" type="button" dataOnly="0" labelOnly="1" outline="0" axis="axisRow" fieldPosition="0"/>
    </format>
    <format dxfId="1122">
      <pivotArea dataOnly="0" labelOnly="1" fieldPosition="0">
        <references count="1">
          <reference field="2" count="0"/>
        </references>
      </pivotArea>
    </format>
    <format dxfId="1121">
      <pivotArea dataOnly="0" labelOnly="1" grandRow="1" outline="0" fieldPosition="0"/>
    </format>
    <format dxfId="1120">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D6E5B3-FEAF-4CD7-BA96-2273AA228E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C2:D9" firstHeaderRow="1" firstDataRow="1" firstDataCol="1"/>
  <pivotFields count="16">
    <pivotField showAll="0"/>
    <pivotField axis="axisRow"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5"/>
    <field x="14"/>
    <field x="1"/>
  </rowFields>
  <rowItems count="7">
    <i>
      <x v="1"/>
    </i>
    <i>
      <x v="2"/>
    </i>
    <i>
      <x v="3"/>
    </i>
    <i>
      <x v="4"/>
    </i>
    <i>
      <x v="5"/>
    </i>
    <i>
      <x v="6"/>
    </i>
    <i t="grand">
      <x/>
    </i>
  </rowItems>
  <colItems count="1">
    <i/>
  </colItems>
  <dataFields count="1">
    <dataField name="Sum of Sales_Amount" fld="9" baseField="0" baseItem="0"/>
  </dataFields>
  <formats count="6">
    <format dxfId="1131">
      <pivotArea type="all" dataOnly="0" outline="0" fieldPosition="0"/>
    </format>
    <format dxfId="1130">
      <pivotArea outline="0" collapsedLevelsAreSubtotals="1" fieldPosition="0"/>
    </format>
    <format dxfId="1129">
      <pivotArea field="15" type="button" dataOnly="0" labelOnly="1" outline="0" axis="axisRow" fieldPosition="0"/>
    </format>
    <format dxfId="1128">
      <pivotArea dataOnly="0" labelOnly="1" fieldPosition="0">
        <references count="1">
          <reference field="15" count="6">
            <x v="1"/>
            <x v="2"/>
            <x v="3"/>
            <x v="4"/>
            <x v="5"/>
            <x v="6"/>
          </reference>
        </references>
      </pivotArea>
    </format>
    <format dxfId="1127">
      <pivotArea dataOnly="0" labelOnly="1" grandRow="1" outline="0" fieldPosition="0"/>
    </format>
    <format dxfId="112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C4EC97-79FD-4B34-AD07-3924E38AD0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Channel">
  <location ref="G16:H19" firstHeaderRow="1" firstDataRow="1" firstDataCol="1"/>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Sales_Amount" fld="9" baseField="0" baseItem="0"/>
  </dataFields>
  <formats count="6">
    <format dxfId="1137">
      <pivotArea type="all" dataOnly="0" outline="0" fieldPosition="0"/>
    </format>
    <format dxfId="1136">
      <pivotArea outline="0" collapsedLevelsAreSubtotals="1" fieldPosition="0"/>
    </format>
    <format dxfId="1135">
      <pivotArea field="4" type="button" dataOnly="0" labelOnly="1" outline="0" axis="axisRow" fieldPosition="0"/>
    </format>
    <format dxfId="1134">
      <pivotArea dataOnly="0" labelOnly="1" fieldPosition="0">
        <references count="1">
          <reference field="4" count="0"/>
        </references>
      </pivotArea>
    </format>
    <format dxfId="1133">
      <pivotArea dataOnly="0" labelOnly="1" grandRow="1" outline="0" fieldPosition="0"/>
    </format>
    <format dxfId="11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61A45-49C4-4FE5-93D7-AAB741E7CB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21" firstHeaderRow="1" firstDataRow="1" firstDataCol="1"/>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axis="axisRow" showAll="0">
      <items count="10">
        <item x="7"/>
        <item x="6"/>
        <item x="0"/>
        <item x="3"/>
        <item x="4"/>
        <item x="8"/>
        <item x="2"/>
        <item x="5"/>
        <item x="1"/>
        <item t="default"/>
      </items>
    </pivotField>
    <pivotField showAll="0"/>
    <pivotField dataField="1" showAll="0">
      <items count="181">
        <item x="133"/>
        <item x="135"/>
        <item x="157"/>
        <item x="82"/>
        <item x="109"/>
        <item x="34"/>
        <item x="164"/>
        <item x="163"/>
        <item x="40"/>
        <item x="81"/>
        <item x="58"/>
        <item x="14"/>
        <item x="53"/>
        <item x="124"/>
        <item x="96"/>
        <item x="115"/>
        <item x="18"/>
        <item x="29"/>
        <item x="74"/>
        <item x="105"/>
        <item x="129"/>
        <item x="22"/>
        <item x="127"/>
        <item x="70"/>
        <item x="87"/>
        <item x="108"/>
        <item x="72"/>
        <item x="147"/>
        <item x="28"/>
        <item x="110"/>
        <item x="98"/>
        <item x="154"/>
        <item x="59"/>
        <item x="149"/>
        <item x="33"/>
        <item x="150"/>
        <item x="173"/>
        <item x="134"/>
        <item x="48"/>
        <item x="21"/>
        <item x="47"/>
        <item x="57"/>
        <item x="7"/>
        <item x="46"/>
        <item x="88"/>
        <item x="79"/>
        <item x="36"/>
        <item x="158"/>
        <item x="77"/>
        <item x="159"/>
        <item x="0"/>
        <item x="85"/>
        <item x="161"/>
        <item x="41"/>
        <item x="3"/>
        <item x="37"/>
        <item x="112"/>
        <item x="146"/>
        <item x="78"/>
        <item x="80"/>
        <item x="44"/>
        <item x="178"/>
        <item x="38"/>
        <item x="76"/>
        <item x="167"/>
        <item x="42"/>
        <item x="171"/>
        <item x="143"/>
        <item x="140"/>
        <item x="136"/>
        <item x="69"/>
        <item x="2"/>
        <item x="177"/>
        <item x="39"/>
        <item x="126"/>
        <item x="35"/>
        <item x="153"/>
        <item x="155"/>
        <item x="52"/>
        <item x="145"/>
        <item x="55"/>
        <item x="61"/>
        <item x="123"/>
        <item x="165"/>
        <item x="137"/>
        <item x="68"/>
        <item x="89"/>
        <item x="132"/>
        <item x="122"/>
        <item x="168"/>
        <item x="83"/>
        <item x="30"/>
        <item x="51"/>
        <item x="152"/>
        <item x="131"/>
        <item x="97"/>
        <item x="151"/>
        <item x="5"/>
        <item x="111"/>
        <item x="12"/>
        <item x="64"/>
        <item x="20"/>
        <item x="11"/>
        <item x="73"/>
        <item x="19"/>
        <item x="45"/>
        <item x="67"/>
        <item x="106"/>
        <item x="1"/>
        <item x="148"/>
        <item x="160"/>
        <item x="176"/>
        <item x="94"/>
        <item x="118"/>
        <item x="138"/>
        <item x="62"/>
        <item x="9"/>
        <item x="13"/>
        <item x="113"/>
        <item x="162"/>
        <item x="15"/>
        <item x="43"/>
        <item x="75"/>
        <item x="125"/>
        <item x="65"/>
        <item x="175"/>
        <item x="102"/>
        <item x="4"/>
        <item x="17"/>
        <item x="71"/>
        <item x="139"/>
        <item x="170"/>
        <item x="103"/>
        <item x="60"/>
        <item x="6"/>
        <item x="119"/>
        <item x="27"/>
        <item x="86"/>
        <item x="95"/>
        <item x="121"/>
        <item x="104"/>
        <item x="179"/>
        <item x="63"/>
        <item x="144"/>
        <item x="114"/>
        <item x="56"/>
        <item x="93"/>
        <item x="16"/>
        <item x="169"/>
        <item x="99"/>
        <item x="120"/>
        <item x="101"/>
        <item x="24"/>
        <item x="92"/>
        <item x="128"/>
        <item x="8"/>
        <item x="166"/>
        <item x="25"/>
        <item x="31"/>
        <item x="50"/>
        <item x="107"/>
        <item x="10"/>
        <item x="172"/>
        <item x="130"/>
        <item x="117"/>
        <item x="156"/>
        <item x="174"/>
        <item x="141"/>
        <item x="66"/>
        <item x="49"/>
        <item x="100"/>
        <item x="142"/>
        <item x="32"/>
        <item x="26"/>
        <item x="54"/>
        <item x="84"/>
        <item x="116"/>
        <item x="90"/>
        <item x="23"/>
        <item x="91"/>
        <item t="default"/>
      </items>
    </pivotField>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0">
    <i>
      <x/>
    </i>
    <i>
      <x v="1"/>
    </i>
    <i>
      <x v="2"/>
    </i>
    <i>
      <x v="3"/>
    </i>
    <i>
      <x v="4"/>
    </i>
    <i>
      <x v="5"/>
    </i>
    <i>
      <x v="6"/>
    </i>
    <i>
      <x v="7"/>
    </i>
    <i>
      <x v="8"/>
    </i>
    <i t="grand">
      <x/>
    </i>
  </rowItems>
  <colItems count="1">
    <i/>
  </colItems>
  <dataFields count="1">
    <dataField name="Sum of Sales_Amount" fld="9" baseField="0" baseItem="0"/>
  </dataFields>
  <formats count="6">
    <format dxfId="1143">
      <pivotArea type="all" dataOnly="0" outline="0" fieldPosition="0"/>
    </format>
    <format dxfId="1142">
      <pivotArea outline="0" collapsedLevelsAreSubtotals="1" fieldPosition="0"/>
    </format>
    <format dxfId="1141">
      <pivotArea field="7" type="button" dataOnly="0" labelOnly="1" outline="0" axis="axisRow" fieldPosition="0"/>
    </format>
    <format dxfId="1140">
      <pivotArea dataOnly="0" labelOnly="1" fieldPosition="0">
        <references count="1">
          <reference field="7" count="0"/>
        </references>
      </pivotArea>
    </format>
    <format dxfId="1139">
      <pivotArea dataOnly="0" labelOnly="1" grandRow="1" outline="0" fieldPosition="0"/>
    </format>
    <format dxfId="1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5E23C-65FA-4E77-A50C-67D265E4BA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L8" firstHeaderRow="1" firstDataRow="1" firstDataCol="0"/>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AB94DE-E736-4C12-A930-67B4152C17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G9:H13" firstHeaderRow="1" firstDataRow="1" firstDataCol="1"/>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Sum of Profit" fld="12" baseField="0" baseItem="0"/>
  </dataFields>
  <formats count="7">
    <format dxfId="1150">
      <pivotArea type="all" dataOnly="0" outline="0" fieldPosition="0"/>
    </format>
    <format dxfId="1149">
      <pivotArea outline="0" collapsedLevelsAreSubtotals="1" fieldPosition="0"/>
    </format>
    <format dxfId="1148">
      <pivotArea field="6" type="button" dataOnly="0" labelOnly="1" outline="0" axis="axisRow" fieldPosition="0"/>
    </format>
    <format dxfId="1147">
      <pivotArea dataOnly="0" labelOnly="1" fieldPosition="0">
        <references count="1">
          <reference field="6" count="0"/>
        </references>
      </pivotArea>
    </format>
    <format dxfId="1146">
      <pivotArea dataOnly="0" labelOnly="1" grandRow="1" outline="0" fieldPosition="0"/>
    </format>
    <format dxfId="1145">
      <pivotArea dataOnly="0" labelOnly="1" outline="0" axis="axisValues" fieldPosition="0"/>
    </format>
    <format dxfId="1144">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E91557-3783-402F-9DEF-4E9DFB93548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Margin %" fld="13" baseField="0" baseItem="0" numFmtId="2"/>
  </dataFields>
  <formats count="3">
    <format dxfId="1113">
      <pivotArea type="all" dataOnly="0" outline="0" fieldPosition="0"/>
    </format>
    <format dxfId="1112">
      <pivotArea dataOnly="0" labelOnly="1" outline="0" axis="axisValues" fieldPosition="0"/>
    </format>
    <format dxfId="1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66D1A5-CB14-4F81-936F-0435A6226E5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2" baseField="0" baseItem="0"/>
  </dataFields>
  <formats count="3">
    <format dxfId="1116">
      <pivotArea type="all" dataOnly="0" outline="0" fieldPosition="0"/>
    </format>
    <format dxfId="1115">
      <pivotArea outline="0" collapsedLevelsAreSubtotals="1" fieldPosition="0"/>
    </format>
    <format dxfId="1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8AC6E2-BF53-4355-8680-A8532EED01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_Amount" fld="9" baseField="0" baseItem="0"/>
  </dataFields>
  <formats count="3">
    <format dxfId="1119">
      <pivotArea type="all" dataOnly="0" outline="0" fieldPosition="0"/>
    </format>
    <format dxfId="1118">
      <pivotArea outline="0" collapsedLevelsAreSubtotals="1" fieldPosition="0"/>
    </format>
    <format dxfId="1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F9D970-F70A-47C4-B665-0C68AF8528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6">
    <pivotField showAll="0"/>
    <pivotField numFmtId="164" showAll="0">
      <items count="116">
        <item x="78"/>
        <item x="111"/>
        <item x="82"/>
        <item x="108"/>
        <item x="19"/>
        <item x="7"/>
        <item x="22"/>
        <item x="86"/>
        <item x="4"/>
        <item x="64"/>
        <item x="103"/>
        <item x="90"/>
        <item x="102"/>
        <item x="89"/>
        <item x="60"/>
        <item x="0"/>
        <item x="10"/>
        <item x="51"/>
        <item x="38"/>
        <item x="85"/>
        <item x="20"/>
        <item x="42"/>
        <item x="104"/>
        <item x="81"/>
        <item x="41"/>
        <item x="33"/>
        <item x="109"/>
        <item x="52"/>
        <item x="94"/>
        <item x="2"/>
        <item x="112"/>
        <item x="35"/>
        <item x="56"/>
        <item x="32"/>
        <item x="12"/>
        <item x="65"/>
        <item x="30"/>
        <item x="114"/>
        <item x="17"/>
        <item x="101"/>
        <item x="46"/>
        <item x="106"/>
        <item x="27"/>
        <item x="79"/>
        <item x="57"/>
        <item x="24"/>
        <item x="67"/>
        <item x="80"/>
        <item x="49"/>
        <item x="61"/>
        <item x="50"/>
        <item x="107"/>
        <item x="98"/>
        <item x="5"/>
        <item x="53"/>
        <item x="55"/>
        <item x="43"/>
        <item x="96"/>
        <item x="36"/>
        <item x="71"/>
        <item x="113"/>
        <item x="70"/>
        <item x="75"/>
        <item x="39"/>
        <item x="110"/>
        <item x="40"/>
        <item x="37"/>
        <item x="15"/>
        <item x="87"/>
        <item x="100"/>
        <item x="45"/>
        <item x="58"/>
        <item x="3"/>
        <item x="66"/>
        <item x="74"/>
        <item x="18"/>
        <item x="93"/>
        <item x="69"/>
        <item x="97"/>
        <item x="28"/>
        <item x="13"/>
        <item x="6"/>
        <item x="76"/>
        <item x="21"/>
        <item x="88"/>
        <item x="11"/>
        <item x="23"/>
        <item x="1"/>
        <item x="14"/>
        <item x="92"/>
        <item x="9"/>
        <item x="16"/>
        <item x="54"/>
        <item x="25"/>
        <item x="63"/>
        <item x="95"/>
        <item x="105"/>
        <item x="72"/>
        <item x="73"/>
        <item x="31"/>
        <item x="84"/>
        <item x="48"/>
        <item x="83"/>
        <item x="77"/>
        <item x="8"/>
        <item x="26"/>
        <item x="91"/>
        <item x="68"/>
        <item x="47"/>
        <item x="62"/>
        <item x="59"/>
        <item x="99"/>
        <item x="44"/>
        <item x="34"/>
        <item x="29"/>
        <item t="default"/>
      </items>
    </pivotField>
    <pivotField showAll="0">
      <items count="5">
        <item x="3"/>
        <item x="2"/>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Margin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135738-3861-4E96-8A86-33199249C1C1}" sourceName="Product_Category">
  <pivotTables>
    <pivotTable tabId="2" name="PivotTable7"/>
    <pivotTable tabId="2" name="PivotTable2"/>
    <pivotTable tabId="2" name="PivotTable3"/>
    <pivotTable tabId="2" name="PivotTable4"/>
    <pivotTable tabId="2" name="PivotTable5"/>
    <pivotTable tabId="2" name="PivotTable6"/>
    <pivotTable tabId="4" name="PivotTable10"/>
    <pivotTable tabId="4" name="PivotTable11"/>
    <pivotTable tabId="4" name="PivotTable8"/>
    <pivotTable tabId="4" name="PivotTable9"/>
  </pivotTables>
  <data>
    <tabular pivotCacheId="15477564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2483E2F-0808-4D40-9EA6-FD879A22462E}" sourceName="Sales_Channel">
  <pivotTables>
    <pivotTable tabId="2" name="PivotTable7"/>
    <pivotTable tabId="2" name="PivotTable2"/>
    <pivotTable tabId="2" name="PivotTable3"/>
    <pivotTable tabId="2" name="PivotTable4"/>
    <pivotTable tabId="2" name="PivotTable5"/>
    <pivotTable tabId="2" name="PivotTable6"/>
    <pivotTable tabId="4" name="PivotTable10"/>
    <pivotTable tabId="4" name="PivotTable11"/>
    <pivotTable tabId="4" name="PivotTable8"/>
    <pivotTable tabId="4" name="PivotTable9"/>
  </pivotTables>
  <data>
    <tabular pivotCacheId="15477564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79BC3A-CF47-4847-AD11-2185462D9DA5}" sourceName="Region">
  <pivotTables>
    <pivotTable tabId="2" name="PivotTable7"/>
    <pivotTable tabId="2" name="PivotTable2"/>
    <pivotTable tabId="2" name="PivotTable3"/>
    <pivotTable tabId="2" name="PivotTable4"/>
    <pivotTable tabId="2" name="PivotTable5"/>
    <pivotTable tabId="2" name="PivotTable6"/>
    <pivotTable tabId="4" name="PivotTable10"/>
    <pivotTable tabId="4" name="PivotTable11"/>
    <pivotTable tabId="4" name="PivotTable8"/>
    <pivotTable tabId="4" name="PivotTable9"/>
  </pivotTables>
  <data>
    <tabular pivotCacheId="154775640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75D48062-ED9A-46F2-A93F-B82E99C09656}" cache="Slicer_Product_Category" caption="Product_Category" rowHeight="241300"/>
  <slicer name="Sales_Channel" xr10:uid="{F416DA32-728C-48AF-B389-6DEC40680585}" cache="Slicer_Sales_Channel" caption="Sales_Channel" rowHeight="241300"/>
  <slicer name="Region" xr10:uid="{BFDC3F93-846F-4FFF-A517-245A4B4529F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53866-3037-459C-BA34-653159602E15}" name="Business_Table" displayName="Business_Table" ref="A1:N181" totalsRowShown="0" headerRowDxfId="1169" dataDxfId="1167" headerRowBorderDxfId="1168" tableBorderDxfId="1166" totalsRowBorderDxfId="1165">
  <autoFilter ref="A1:N181" xr:uid="{A0E53866-3037-459C-BA34-653159602E15}"/>
  <sortState xmlns:xlrd2="http://schemas.microsoft.com/office/spreadsheetml/2017/richdata2" ref="A2:N181">
    <sortCondition ref="A1:A181"/>
  </sortState>
  <tableColumns count="14">
    <tableColumn id="1" xr3:uid="{93EC7EC9-FDB1-4DAC-A1A9-1B58FC406F71}" name="Order_ID" dataDxfId="1164"/>
    <tableColumn id="2" xr3:uid="{73F47CEE-C25E-453C-ABE4-AA1AE3872B9F}" name="Order_Date" dataDxfId="1163"/>
    <tableColumn id="3" xr3:uid="{595273A6-487F-4E8A-A47B-45C41BDA7F1D}" name="Region" dataDxfId="1162"/>
    <tableColumn id="4" xr3:uid="{55AFC469-12F0-4D87-82F5-38CE490002E9}" name="City" dataDxfId="1161"/>
    <tableColumn id="5" xr3:uid="{591D1E64-F1F3-425A-818F-8CF8DB28AF76}" name="Sales_Channel" dataDxfId="1160"/>
    <tableColumn id="6" xr3:uid="{475267CD-70CE-4908-ADB0-CD5CBB4A54A1}" name="Customer_Type" dataDxfId="1159"/>
    <tableColumn id="7" xr3:uid="{147E0059-A153-45FF-918F-949F9192D586}" name="Product_Category" dataDxfId="1158"/>
    <tableColumn id="8" xr3:uid="{9E6D80D5-0054-4520-A3A5-4A4CB5A03205}" name="Product_Name" dataDxfId="1157"/>
    <tableColumn id="9" xr3:uid="{612DFCD0-8095-4E4D-892A-4E88D6A49676}" name="Quantity" dataDxfId="1156"/>
    <tableColumn id="10" xr3:uid="{8B6A5300-6957-4BD4-898E-AEC29DDD101F}" name="Sales_Amount" dataDxfId="1155"/>
    <tableColumn id="11" xr3:uid="{5C314681-2909-4CC6-BFF6-D39F6F1177C9}" name="Cost_Amount" dataDxfId="1154"/>
    <tableColumn id="12" xr3:uid="{D3277C92-93C8-40B7-9145-C5C69CBCA43D}" name="Salesperson" dataDxfId="1153"/>
    <tableColumn id="13" xr3:uid="{A96E738B-DAD3-461F-B6F1-6C79D6F6E0EE}" name="Profit" dataDxfId="1152">
      <calculatedColumnFormula>Business_Table[[#This Row],[Sales_Amount]]-Business_Table[[#This Row],[Cost_Amount]]</calculatedColumnFormula>
    </tableColumn>
    <tableColumn id="14" xr3:uid="{4E4AA7A0-67BD-44E4-97CE-9FC62C962C9C}" name="Profit Margin %" dataDxfId="1151" dataCellStyle="Per cent">
      <calculatedColumnFormula>Business_Table[[#This Row],[Profit]]/Business_Table[[#This Row],[Sales_Amount]]</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86"/>
  <sheetViews>
    <sheetView zoomScaleNormal="100" workbookViewId="0">
      <selection activeCell="G190" sqref="G190"/>
    </sheetView>
  </sheetViews>
  <sheetFormatPr defaultRowHeight="14" x14ac:dyDescent="0.3"/>
  <cols>
    <col min="1" max="1" width="13.08984375" style="9" bestFit="1" customWidth="1"/>
    <col min="2" max="2" width="17.81640625" style="9" bestFit="1" customWidth="1"/>
    <col min="3" max="3" width="11" style="9" bestFit="1" customWidth="1"/>
    <col min="4" max="4" width="12.26953125" style="9" bestFit="1" customWidth="1"/>
    <col min="5" max="5" width="17.453125" style="9" bestFit="1" customWidth="1"/>
    <col min="6" max="6" width="18.6328125" style="9" bestFit="1" customWidth="1"/>
    <col min="7" max="7" width="20.54296875" style="9" bestFit="1" customWidth="1"/>
    <col min="8" max="8" width="18" style="9" bestFit="1" customWidth="1"/>
    <col min="9" max="9" width="12.7265625" style="9" bestFit="1" customWidth="1"/>
    <col min="10" max="10" width="17.453125" style="9" bestFit="1" customWidth="1"/>
    <col min="11" max="11" width="16.90625" style="9" bestFit="1" customWidth="1"/>
    <col min="12" max="12" width="15.36328125" style="9" bestFit="1" customWidth="1"/>
    <col min="13" max="13" width="10.08984375" style="9" bestFit="1" customWidth="1"/>
    <col min="14" max="14" width="18.453125" style="9" bestFit="1" customWidth="1"/>
    <col min="15" max="16384" width="8.7265625" style="9"/>
  </cols>
  <sheetData>
    <row r="1" spans="1:14" x14ac:dyDescent="0.3">
      <c r="A1" s="6" t="s">
        <v>0</v>
      </c>
      <c r="B1" s="7" t="s">
        <v>1</v>
      </c>
      <c r="C1" s="7" t="s">
        <v>2</v>
      </c>
      <c r="D1" s="7" t="s">
        <v>3</v>
      </c>
      <c r="E1" s="7" t="s">
        <v>4</v>
      </c>
      <c r="F1" s="7" t="s">
        <v>5</v>
      </c>
      <c r="G1" s="7" t="s">
        <v>6</v>
      </c>
      <c r="H1" s="7" t="s">
        <v>7</v>
      </c>
      <c r="I1" s="7" t="s">
        <v>8</v>
      </c>
      <c r="J1" s="7" t="s">
        <v>9</v>
      </c>
      <c r="K1" s="7" t="s">
        <v>10</v>
      </c>
      <c r="L1" s="7" t="s">
        <v>11</v>
      </c>
      <c r="M1" s="7" t="s">
        <v>229</v>
      </c>
      <c r="N1" s="8" t="s">
        <v>230</v>
      </c>
    </row>
    <row r="2" spans="1:14" x14ac:dyDescent="0.3">
      <c r="A2" s="10" t="s">
        <v>12</v>
      </c>
      <c r="B2" s="11">
        <v>45318</v>
      </c>
      <c r="C2" s="12" t="s">
        <v>192</v>
      </c>
      <c r="D2" s="12" t="s">
        <v>196</v>
      </c>
      <c r="E2" s="12" t="s">
        <v>208</v>
      </c>
      <c r="F2" s="12" t="s">
        <v>210</v>
      </c>
      <c r="G2" s="12" t="s">
        <v>212</v>
      </c>
      <c r="H2" s="12" t="s">
        <v>215</v>
      </c>
      <c r="I2" s="12">
        <v>5</v>
      </c>
      <c r="J2" s="12">
        <v>4812</v>
      </c>
      <c r="K2" s="12">
        <v>2915</v>
      </c>
      <c r="L2" s="12" t="s">
        <v>224</v>
      </c>
      <c r="M2" s="12">
        <f>Business_Table[[#This Row],[Sales_Amount]]-Business_Table[[#This Row],[Cost_Amount]]</f>
        <v>1897</v>
      </c>
      <c r="N2" s="13">
        <f>Business_Table[[#This Row],[Profit]]/Business_Table[[#This Row],[Sales_Amount]]</f>
        <v>0.39422277639235243</v>
      </c>
    </row>
    <row r="3" spans="1:14" x14ac:dyDescent="0.3">
      <c r="A3" s="10" t="s">
        <v>13</v>
      </c>
      <c r="B3" s="11">
        <v>45435</v>
      </c>
      <c r="C3" s="12" t="s">
        <v>192</v>
      </c>
      <c r="D3" s="12" t="s">
        <v>197</v>
      </c>
      <c r="E3" s="12" t="s">
        <v>209</v>
      </c>
      <c r="F3" s="12" t="s">
        <v>211</v>
      </c>
      <c r="G3" s="12" t="s">
        <v>212</v>
      </c>
      <c r="H3" s="12" t="s">
        <v>216</v>
      </c>
      <c r="I3" s="12">
        <v>4</v>
      </c>
      <c r="J3" s="12">
        <v>9079</v>
      </c>
      <c r="K3" s="12">
        <v>6359</v>
      </c>
      <c r="L3" s="12" t="s">
        <v>225</v>
      </c>
      <c r="M3" s="12">
        <f>Business_Table[[#This Row],[Sales_Amount]]-Business_Table[[#This Row],[Cost_Amount]]</f>
        <v>2720</v>
      </c>
      <c r="N3" s="13">
        <f>Business_Table[[#This Row],[Profit]]/Business_Table[[#This Row],[Sales_Amount]]</f>
        <v>0.29959246613063112</v>
      </c>
    </row>
    <row r="4" spans="1:14" x14ac:dyDescent="0.3">
      <c r="A4" s="10" t="s">
        <v>14</v>
      </c>
      <c r="B4" s="11">
        <v>45347</v>
      </c>
      <c r="C4" s="12" t="s">
        <v>193</v>
      </c>
      <c r="D4" s="12" t="s">
        <v>198</v>
      </c>
      <c r="E4" s="12" t="s">
        <v>208</v>
      </c>
      <c r="F4" s="12" t="s">
        <v>211</v>
      </c>
      <c r="G4" s="12" t="s">
        <v>212</v>
      </c>
      <c r="H4" s="12" t="s">
        <v>216</v>
      </c>
      <c r="I4" s="12">
        <v>7</v>
      </c>
      <c r="J4" s="12">
        <v>6374</v>
      </c>
      <c r="K4" s="12">
        <v>3948</v>
      </c>
      <c r="L4" s="12" t="s">
        <v>225</v>
      </c>
      <c r="M4" s="12">
        <f>Business_Table[[#This Row],[Sales_Amount]]-Business_Table[[#This Row],[Cost_Amount]]</f>
        <v>2426</v>
      </c>
      <c r="N4" s="13">
        <f>Business_Table[[#This Row],[Profit]]/Business_Table[[#This Row],[Sales_Amount]]</f>
        <v>0.38060872293693127</v>
      </c>
    </row>
    <row r="5" spans="1:14" x14ac:dyDescent="0.3">
      <c r="A5" s="10" t="s">
        <v>15</v>
      </c>
      <c r="B5" s="11">
        <v>45409</v>
      </c>
      <c r="C5" s="12" t="s">
        <v>192</v>
      </c>
      <c r="D5" s="12" t="s">
        <v>196</v>
      </c>
      <c r="E5" s="12" t="s">
        <v>208</v>
      </c>
      <c r="F5" s="12" t="s">
        <v>210</v>
      </c>
      <c r="G5" s="12" t="s">
        <v>213</v>
      </c>
      <c r="H5" s="12" t="s">
        <v>217</v>
      </c>
      <c r="I5" s="12">
        <v>10</v>
      </c>
      <c r="J5" s="12">
        <v>5133</v>
      </c>
      <c r="K5" s="12">
        <v>3858</v>
      </c>
      <c r="L5" s="12" t="s">
        <v>224</v>
      </c>
      <c r="M5" s="12">
        <f>Business_Table[[#This Row],[Sales_Amount]]-Business_Table[[#This Row],[Cost_Amount]]</f>
        <v>1275</v>
      </c>
      <c r="N5" s="13">
        <f>Business_Table[[#This Row],[Profit]]/Business_Table[[#This Row],[Sales_Amount]]</f>
        <v>0.2483927527761543</v>
      </c>
    </row>
    <row r="6" spans="1:14" x14ac:dyDescent="0.3">
      <c r="A6" s="10" t="s">
        <v>16</v>
      </c>
      <c r="B6" s="11">
        <v>45309</v>
      </c>
      <c r="C6" s="12" t="s">
        <v>193</v>
      </c>
      <c r="D6" s="12" t="s">
        <v>199</v>
      </c>
      <c r="E6" s="12" t="s">
        <v>208</v>
      </c>
      <c r="F6" s="12" t="s">
        <v>210</v>
      </c>
      <c r="G6" s="12" t="s">
        <v>214</v>
      </c>
      <c r="H6" s="12" t="s">
        <v>218</v>
      </c>
      <c r="I6" s="12">
        <v>6</v>
      </c>
      <c r="J6" s="12">
        <v>10259</v>
      </c>
      <c r="K6" s="12">
        <v>6135</v>
      </c>
      <c r="L6" s="12" t="s">
        <v>224</v>
      </c>
      <c r="M6" s="12">
        <f>Business_Table[[#This Row],[Sales_Amount]]-Business_Table[[#This Row],[Cost_Amount]]</f>
        <v>4124</v>
      </c>
      <c r="N6" s="13">
        <f>Business_Table[[#This Row],[Profit]]/Business_Table[[#This Row],[Sales_Amount]]</f>
        <v>0.40198849790427915</v>
      </c>
    </row>
    <row r="7" spans="1:14" x14ac:dyDescent="0.3">
      <c r="A7" s="10" t="s">
        <v>17</v>
      </c>
      <c r="B7" s="11">
        <v>45385</v>
      </c>
      <c r="C7" s="12" t="s">
        <v>194</v>
      </c>
      <c r="D7" s="12" t="s">
        <v>200</v>
      </c>
      <c r="E7" s="12" t="s">
        <v>209</v>
      </c>
      <c r="F7" s="12" t="s">
        <v>210</v>
      </c>
      <c r="G7" s="12" t="s">
        <v>212</v>
      </c>
      <c r="H7" s="12" t="s">
        <v>219</v>
      </c>
      <c r="I7" s="12">
        <v>5</v>
      </c>
      <c r="J7" s="12">
        <v>8228</v>
      </c>
      <c r="K7" s="12">
        <v>5833</v>
      </c>
      <c r="L7" s="12" t="s">
        <v>226</v>
      </c>
      <c r="M7" s="12">
        <f>Business_Table[[#This Row],[Sales_Amount]]-Business_Table[[#This Row],[Cost_Amount]]</f>
        <v>2395</v>
      </c>
      <c r="N7" s="13">
        <f>Business_Table[[#This Row],[Profit]]/Business_Table[[#This Row],[Sales_Amount]]</f>
        <v>0.29107924161400095</v>
      </c>
    </row>
    <row r="8" spans="1:14" x14ac:dyDescent="0.3">
      <c r="A8" s="10" t="s">
        <v>18</v>
      </c>
      <c r="B8" s="11">
        <v>45428</v>
      </c>
      <c r="C8" s="12" t="s">
        <v>193</v>
      </c>
      <c r="D8" s="12" t="s">
        <v>201</v>
      </c>
      <c r="E8" s="12" t="s">
        <v>208</v>
      </c>
      <c r="F8" s="12" t="s">
        <v>211</v>
      </c>
      <c r="G8" s="12" t="s">
        <v>214</v>
      </c>
      <c r="H8" s="12" t="s">
        <v>218</v>
      </c>
      <c r="I8" s="12">
        <v>2</v>
      </c>
      <c r="J8" s="12">
        <v>10780</v>
      </c>
      <c r="K8" s="12">
        <v>7640</v>
      </c>
      <c r="L8" s="12" t="s">
        <v>225</v>
      </c>
      <c r="M8" s="12">
        <f>Business_Table[[#This Row],[Sales_Amount]]-Business_Table[[#This Row],[Cost_Amount]]</f>
        <v>3140</v>
      </c>
      <c r="N8" s="13">
        <f>Business_Table[[#This Row],[Profit]]/Business_Table[[#This Row],[Sales_Amount]]</f>
        <v>0.29128014842300559</v>
      </c>
    </row>
    <row r="9" spans="1:14" x14ac:dyDescent="0.3">
      <c r="A9" s="10" t="s">
        <v>19</v>
      </c>
      <c r="B9" s="11">
        <v>45306</v>
      </c>
      <c r="C9" s="12" t="s">
        <v>195</v>
      </c>
      <c r="D9" s="12" t="s">
        <v>202</v>
      </c>
      <c r="E9" s="12" t="s">
        <v>208</v>
      </c>
      <c r="F9" s="12" t="s">
        <v>210</v>
      </c>
      <c r="G9" s="12" t="s">
        <v>213</v>
      </c>
      <c r="H9" s="12" t="s">
        <v>220</v>
      </c>
      <c r="I9" s="12">
        <v>9</v>
      </c>
      <c r="J9" s="12">
        <v>4398</v>
      </c>
      <c r="K9" s="12">
        <v>3171</v>
      </c>
      <c r="L9" s="12" t="s">
        <v>225</v>
      </c>
      <c r="M9" s="12">
        <f>Business_Table[[#This Row],[Sales_Amount]]-Business_Table[[#This Row],[Cost_Amount]]</f>
        <v>1227</v>
      </c>
      <c r="N9" s="13">
        <f>Business_Table[[#This Row],[Profit]]/Business_Table[[#This Row],[Sales_Amount]]</f>
        <v>0.27899045020463847</v>
      </c>
    </row>
    <row r="10" spans="1:14" x14ac:dyDescent="0.3">
      <c r="A10" s="10" t="s">
        <v>20</v>
      </c>
      <c r="B10" s="11">
        <v>45459</v>
      </c>
      <c r="C10" s="12" t="s">
        <v>193</v>
      </c>
      <c r="D10" s="12" t="s">
        <v>198</v>
      </c>
      <c r="E10" s="12" t="s">
        <v>209</v>
      </c>
      <c r="F10" s="12" t="s">
        <v>210</v>
      </c>
      <c r="G10" s="12" t="s">
        <v>212</v>
      </c>
      <c r="H10" s="12" t="s">
        <v>216</v>
      </c>
      <c r="I10" s="12">
        <v>10</v>
      </c>
      <c r="J10" s="12">
        <v>12562</v>
      </c>
      <c r="K10" s="12">
        <v>7897</v>
      </c>
      <c r="L10" s="12" t="s">
        <v>226</v>
      </c>
      <c r="M10" s="12">
        <f>Business_Table[[#This Row],[Sales_Amount]]-Business_Table[[#This Row],[Cost_Amount]]</f>
        <v>4665</v>
      </c>
      <c r="N10" s="13">
        <f>Business_Table[[#This Row],[Profit]]/Business_Table[[#This Row],[Sales_Amount]]</f>
        <v>0.37135806400254734</v>
      </c>
    </row>
    <row r="11" spans="1:14" x14ac:dyDescent="0.3">
      <c r="A11" s="10" t="s">
        <v>21</v>
      </c>
      <c r="B11" s="11">
        <v>45441</v>
      </c>
      <c r="C11" s="12" t="s">
        <v>193</v>
      </c>
      <c r="D11" s="12" t="s">
        <v>198</v>
      </c>
      <c r="E11" s="12" t="s">
        <v>209</v>
      </c>
      <c r="F11" s="12" t="s">
        <v>210</v>
      </c>
      <c r="G11" s="12" t="s">
        <v>212</v>
      </c>
      <c r="H11" s="12" t="s">
        <v>216</v>
      </c>
      <c r="I11" s="12">
        <v>9</v>
      </c>
      <c r="J11" s="12">
        <v>9630</v>
      </c>
      <c r="K11" s="12">
        <v>5929</v>
      </c>
      <c r="L11" s="12" t="s">
        <v>226</v>
      </c>
      <c r="M11" s="12">
        <f>Business_Table[[#This Row],[Sales_Amount]]-Business_Table[[#This Row],[Cost_Amount]]</f>
        <v>3701</v>
      </c>
      <c r="N11" s="13">
        <f>Business_Table[[#This Row],[Profit]]/Business_Table[[#This Row],[Sales_Amount]]</f>
        <v>0.38431983385254415</v>
      </c>
    </row>
    <row r="12" spans="1:14" x14ac:dyDescent="0.3">
      <c r="A12" s="10" t="s">
        <v>22</v>
      </c>
      <c r="B12" s="11">
        <v>45320</v>
      </c>
      <c r="C12" s="12" t="s">
        <v>194</v>
      </c>
      <c r="D12" s="12" t="s">
        <v>200</v>
      </c>
      <c r="E12" s="12" t="s">
        <v>208</v>
      </c>
      <c r="F12" s="12" t="s">
        <v>210</v>
      </c>
      <c r="G12" s="12" t="s">
        <v>214</v>
      </c>
      <c r="H12" s="12" t="s">
        <v>221</v>
      </c>
      <c r="I12" s="12">
        <v>2</v>
      </c>
      <c r="J12" s="12">
        <v>13182</v>
      </c>
      <c r="K12" s="12">
        <v>7405</v>
      </c>
      <c r="L12" s="12" t="s">
        <v>227</v>
      </c>
      <c r="M12" s="12">
        <f>Business_Table[[#This Row],[Sales_Amount]]-Business_Table[[#This Row],[Cost_Amount]]</f>
        <v>5777</v>
      </c>
      <c r="N12" s="13">
        <f>Business_Table[[#This Row],[Profit]]/Business_Table[[#This Row],[Sales_Amount]]</f>
        <v>0.43824912759824003</v>
      </c>
    </row>
    <row r="13" spans="1:14" x14ac:dyDescent="0.3">
      <c r="A13" s="10" t="s">
        <v>23</v>
      </c>
      <c r="B13" s="11">
        <v>45433</v>
      </c>
      <c r="C13" s="12" t="s">
        <v>192</v>
      </c>
      <c r="D13" s="12" t="s">
        <v>197</v>
      </c>
      <c r="E13" s="12" t="s">
        <v>208</v>
      </c>
      <c r="F13" s="12" t="s">
        <v>210</v>
      </c>
      <c r="G13" s="12" t="s">
        <v>213</v>
      </c>
      <c r="H13" s="12" t="s">
        <v>217</v>
      </c>
      <c r="I13" s="12">
        <v>10</v>
      </c>
      <c r="J13" s="12">
        <v>8468</v>
      </c>
      <c r="K13" s="12">
        <v>5777</v>
      </c>
      <c r="L13" s="12" t="s">
        <v>228</v>
      </c>
      <c r="M13" s="12">
        <f>Business_Table[[#This Row],[Sales_Amount]]-Business_Table[[#This Row],[Cost_Amount]]</f>
        <v>2691</v>
      </c>
      <c r="N13" s="13">
        <f>Business_Table[[#This Row],[Profit]]/Business_Table[[#This Row],[Sales_Amount]]</f>
        <v>0.31778460085025978</v>
      </c>
    </row>
    <row r="14" spans="1:14" x14ac:dyDescent="0.3">
      <c r="A14" s="10" t="s">
        <v>24</v>
      </c>
      <c r="B14" s="11">
        <v>45359</v>
      </c>
      <c r="C14" s="12" t="s">
        <v>192</v>
      </c>
      <c r="D14" s="12" t="s">
        <v>196</v>
      </c>
      <c r="E14" s="12" t="s">
        <v>208</v>
      </c>
      <c r="F14" s="12" t="s">
        <v>211</v>
      </c>
      <c r="G14" s="12" t="s">
        <v>213</v>
      </c>
      <c r="H14" s="12" t="s">
        <v>217</v>
      </c>
      <c r="I14" s="12">
        <v>3</v>
      </c>
      <c r="J14" s="12">
        <v>8233</v>
      </c>
      <c r="K14" s="12">
        <v>4534</v>
      </c>
      <c r="L14" s="12" t="s">
        <v>228</v>
      </c>
      <c r="M14" s="12">
        <f>Business_Table[[#This Row],[Sales_Amount]]-Business_Table[[#This Row],[Cost_Amount]]</f>
        <v>3699</v>
      </c>
      <c r="N14" s="13">
        <f>Business_Table[[#This Row],[Profit]]/Business_Table[[#This Row],[Sales_Amount]]</f>
        <v>0.44928944491679823</v>
      </c>
    </row>
    <row r="15" spans="1:14" x14ac:dyDescent="0.3">
      <c r="A15" s="10" t="s">
        <v>25</v>
      </c>
      <c r="B15" s="11">
        <v>45427</v>
      </c>
      <c r="C15" s="12" t="s">
        <v>194</v>
      </c>
      <c r="D15" s="12" t="s">
        <v>200</v>
      </c>
      <c r="E15" s="12" t="s">
        <v>209</v>
      </c>
      <c r="F15" s="12" t="s">
        <v>210</v>
      </c>
      <c r="G15" s="12" t="s">
        <v>212</v>
      </c>
      <c r="H15" s="12" t="s">
        <v>219</v>
      </c>
      <c r="I15" s="12">
        <v>3</v>
      </c>
      <c r="J15" s="12">
        <v>9637</v>
      </c>
      <c r="K15" s="12">
        <v>7597</v>
      </c>
      <c r="L15" s="12" t="s">
        <v>224</v>
      </c>
      <c r="M15" s="12">
        <f>Business_Table[[#This Row],[Sales_Amount]]-Business_Table[[#This Row],[Cost_Amount]]</f>
        <v>2040</v>
      </c>
      <c r="N15" s="13">
        <f>Business_Table[[#This Row],[Profit]]/Business_Table[[#This Row],[Sales_Amount]]</f>
        <v>0.21168413406661823</v>
      </c>
    </row>
    <row r="16" spans="1:14" x14ac:dyDescent="0.3">
      <c r="A16" s="10" t="s">
        <v>26</v>
      </c>
      <c r="B16" s="11">
        <v>45437</v>
      </c>
      <c r="C16" s="12" t="s">
        <v>192</v>
      </c>
      <c r="D16" s="12" t="s">
        <v>197</v>
      </c>
      <c r="E16" s="12" t="s">
        <v>208</v>
      </c>
      <c r="F16" s="12" t="s">
        <v>210</v>
      </c>
      <c r="G16" s="12" t="s">
        <v>213</v>
      </c>
      <c r="H16" s="12" t="s">
        <v>217</v>
      </c>
      <c r="I16" s="12">
        <v>4</v>
      </c>
      <c r="J16" s="12">
        <v>1749</v>
      </c>
      <c r="K16" s="12">
        <v>1067</v>
      </c>
      <c r="L16" s="12" t="s">
        <v>224</v>
      </c>
      <c r="M16" s="12">
        <f>Business_Table[[#This Row],[Sales_Amount]]-Business_Table[[#This Row],[Cost_Amount]]</f>
        <v>682</v>
      </c>
      <c r="N16" s="13">
        <f>Business_Table[[#This Row],[Profit]]/Business_Table[[#This Row],[Sales_Amount]]</f>
        <v>0.38993710691823902</v>
      </c>
    </row>
    <row r="17" spans="1:14" x14ac:dyDescent="0.3">
      <c r="A17" s="10" t="s">
        <v>27</v>
      </c>
      <c r="B17" s="11">
        <v>45427</v>
      </c>
      <c r="C17" s="12" t="s">
        <v>194</v>
      </c>
      <c r="D17" s="12" t="s">
        <v>203</v>
      </c>
      <c r="E17" s="12" t="s">
        <v>209</v>
      </c>
      <c r="F17" s="12" t="s">
        <v>211</v>
      </c>
      <c r="G17" s="12" t="s">
        <v>212</v>
      </c>
      <c r="H17" s="12" t="s">
        <v>215</v>
      </c>
      <c r="I17" s="12">
        <v>8</v>
      </c>
      <c r="J17" s="12">
        <v>9807</v>
      </c>
      <c r="K17" s="12">
        <v>5798</v>
      </c>
      <c r="L17" s="12" t="s">
        <v>227</v>
      </c>
      <c r="M17" s="12">
        <f>Business_Table[[#This Row],[Sales_Amount]]-Business_Table[[#This Row],[Cost_Amount]]</f>
        <v>4009</v>
      </c>
      <c r="N17" s="13">
        <f>Business_Table[[#This Row],[Profit]]/Business_Table[[#This Row],[Sales_Amount]]</f>
        <v>0.40878964005302337</v>
      </c>
    </row>
    <row r="18" spans="1:14" x14ac:dyDescent="0.3">
      <c r="A18" s="10" t="s">
        <v>28</v>
      </c>
      <c r="B18" s="11">
        <v>45404</v>
      </c>
      <c r="C18" s="12" t="s">
        <v>194</v>
      </c>
      <c r="D18" s="12" t="s">
        <v>203</v>
      </c>
      <c r="E18" s="12" t="s">
        <v>209</v>
      </c>
      <c r="F18" s="12" t="s">
        <v>211</v>
      </c>
      <c r="G18" s="12" t="s">
        <v>214</v>
      </c>
      <c r="H18" s="12" t="s">
        <v>221</v>
      </c>
      <c r="I18" s="12">
        <v>7</v>
      </c>
      <c r="J18" s="12">
        <v>11804</v>
      </c>
      <c r="K18" s="12">
        <v>8409</v>
      </c>
      <c r="L18" s="12" t="s">
        <v>226</v>
      </c>
      <c r="M18" s="12">
        <f>Business_Table[[#This Row],[Sales_Amount]]-Business_Table[[#This Row],[Cost_Amount]]</f>
        <v>3395</v>
      </c>
      <c r="N18" s="13">
        <f>Business_Table[[#This Row],[Profit]]/Business_Table[[#This Row],[Sales_Amount]]</f>
        <v>0.28761436801084378</v>
      </c>
    </row>
    <row r="19" spans="1:14" x14ac:dyDescent="0.3">
      <c r="A19" s="10" t="s">
        <v>29</v>
      </c>
      <c r="B19" s="11">
        <v>45442</v>
      </c>
      <c r="C19" s="12" t="s">
        <v>194</v>
      </c>
      <c r="D19" s="12" t="s">
        <v>200</v>
      </c>
      <c r="E19" s="12" t="s">
        <v>208</v>
      </c>
      <c r="F19" s="12" t="s">
        <v>211</v>
      </c>
      <c r="G19" s="12" t="s">
        <v>212</v>
      </c>
      <c r="H19" s="12" t="s">
        <v>219</v>
      </c>
      <c r="I19" s="12">
        <v>1</v>
      </c>
      <c r="J19" s="12">
        <v>10438</v>
      </c>
      <c r="K19" s="12">
        <v>7186</v>
      </c>
      <c r="L19" s="12" t="s">
        <v>224</v>
      </c>
      <c r="M19" s="12">
        <f>Business_Table[[#This Row],[Sales_Amount]]-Business_Table[[#This Row],[Cost_Amount]]</f>
        <v>3252</v>
      </c>
      <c r="N19" s="13">
        <f>Business_Table[[#This Row],[Profit]]/Business_Table[[#This Row],[Sales_Amount]]</f>
        <v>0.31155393753592642</v>
      </c>
    </row>
    <row r="20" spans="1:14" x14ac:dyDescent="0.3">
      <c r="A20" s="10" t="s">
        <v>30</v>
      </c>
      <c r="B20" s="11">
        <v>45363</v>
      </c>
      <c r="C20" s="12" t="s">
        <v>194</v>
      </c>
      <c r="D20" s="12" t="s">
        <v>203</v>
      </c>
      <c r="E20" s="12" t="s">
        <v>209</v>
      </c>
      <c r="F20" s="12" t="s">
        <v>211</v>
      </c>
      <c r="G20" s="12" t="s">
        <v>212</v>
      </c>
      <c r="H20" s="12" t="s">
        <v>216</v>
      </c>
      <c r="I20" s="12">
        <v>6</v>
      </c>
      <c r="J20" s="12">
        <v>1960</v>
      </c>
      <c r="K20" s="12">
        <v>1329</v>
      </c>
      <c r="L20" s="12" t="s">
        <v>227</v>
      </c>
      <c r="M20" s="12">
        <f>Business_Table[[#This Row],[Sales_Amount]]-Business_Table[[#This Row],[Cost_Amount]]</f>
        <v>631</v>
      </c>
      <c r="N20" s="13">
        <f>Business_Table[[#This Row],[Profit]]/Business_Table[[#This Row],[Sales_Amount]]</f>
        <v>0.32193877551020406</v>
      </c>
    </row>
    <row r="21" spans="1:14" x14ac:dyDescent="0.3">
      <c r="A21" s="10" t="s">
        <v>31</v>
      </c>
      <c r="B21" s="11">
        <v>45413</v>
      </c>
      <c r="C21" s="12" t="s">
        <v>194</v>
      </c>
      <c r="D21" s="12" t="s">
        <v>204</v>
      </c>
      <c r="E21" s="12" t="s">
        <v>208</v>
      </c>
      <c r="F21" s="12" t="s">
        <v>211</v>
      </c>
      <c r="G21" s="12" t="s">
        <v>214</v>
      </c>
      <c r="H21" s="12" t="s">
        <v>218</v>
      </c>
      <c r="I21" s="12">
        <v>10</v>
      </c>
      <c r="J21" s="12">
        <v>8544</v>
      </c>
      <c r="K21" s="12">
        <v>5218</v>
      </c>
      <c r="L21" s="12" t="s">
        <v>224</v>
      </c>
      <c r="M21" s="12">
        <f>Business_Table[[#This Row],[Sales_Amount]]-Business_Table[[#This Row],[Cost_Amount]]</f>
        <v>3326</v>
      </c>
      <c r="N21" s="13">
        <f>Business_Table[[#This Row],[Profit]]/Business_Table[[#This Row],[Sales_Amount]]</f>
        <v>0.38927902621722849</v>
      </c>
    </row>
    <row r="22" spans="1:14" x14ac:dyDescent="0.3">
      <c r="A22" s="10" t="s">
        <v>32</v>
      </c>
      <c r="B22" s="11">
        <v>45305</v>
      </c>
      <c r="C22" s="12" t="s">
        <v>195</v>
      </c>
      <c r="D22" s="12" t="s">
        <v>205</v>
      </c>
      <c r="E22" s="12" t="s">
        <v>208</v>
      </c>
      <c r="F22" s="12" t="s">
        <v>211</v>
      </c>
      <c r="G22" s="12" t="s">
        <v>213</v>
      </c>
      <c r="H22" s="12" t="s">
        <v>217</v>
      </c>
      <c r="I22" s="12">
        <v>7</v>
      </c>
      <c r="J22" s="12">
        <v>8451</v>
      </c>
      <c r="K22" s="12">
        <v>6473</v>
      </c>
      <c r="L22" s="12" t="s">
        <v>225</v>
      </c>
      <c r="M22" s="12">
        <f>Business_Table[[#This Row],[Sales_Amount]]-Business_Table[[#This Row],[Cost_Amount]]</f>
        <v>1978</v>
      </c>
      <c r="N22" s="13">
        <f>Business_Table[[#This Row],[Profit]]/Business_Table[[#This Row],[Sales_Amount]]</f>
        <v>0.23405514140338421</v>
      </c>
    </row>
    <row r="23" spans="1:14" x14ac:dyDescent="0.3">
      <c r="A23" s="10" t="s">
        <v>33</v>
      </c>
      <c r="B23" s="11">
        <v>45327</v>
      </c>
      <c r="C23" s="12" t="s">
        <v>193</v>
      </c>
      <c r="D23" s="12" t="s">
        <v>198</v>
      </c>
      <c r="E23" s="12" t="s">
        <v>208</v>
      </c>
      <c r="F23" s="12" t="s">
        <v>210</v>
      </c>
      <c r="G23" s="12" t="s">
        <v>212</v>
      </c>
      <c r="H23" s="12" t="s">
        <v>216</v>
      </c>
      <c r="I23" s="12">
        <v>4</v>
      </c>
      <c r="J23" s="12">
        <v>3916</v>
      </c>
      <c r="K23" s="12">
        <v>2678</v>
      </c>
      <c r="L23" s="12" t="s">
        <v>225</v>
      </c>
      <c r="M23" s="12">
        <f>Business_Table[[#This Row],[Sales_Amount]]-Business_Table[[#This Row],[Cost_Amount]]</f>
        <v>1238</v>
      </c>
      <c r="N23" s="13">
        <f>Business_Table[[#This Row],[Profit]]/Business_Table[[#This Row],[Sales_Amount]]</f>
        <v>0.31613891726251275</v>
      </c>
    </row>
    <row r="24" spans="1:14" x14ac:dyDescent="0.3">
      <c r="A24" s="10" t="s">
        <v>34</v>
      </c>
      <c r="B24" s="11">
        <v>45430</v>
      </c>
      <c r="C24" s="12" t="s">
        <v>194</v>
      </c>
      <c r="D24" s="12" t="s">
        <v>200</v>
      </c>
      <c r="E24" s="12" t="s">
        <v>208</v>
      </c>
      <c r="F24" s="12" t="s">
        <v>211</v>
      </c>
      <c r="G24" s="12" t="s">
        <v>212</v>
      </c>
      <c r="H24" s="12" t="s">
        <v>219</v>
      </c>
      <c r="I24" s="12">
        <v>9</v>
      </c>
      <c r="J24" s="12">
        <v>2404</v>
      </c>
      <c r="K24" s="12">
        <v>1352</v>
      </c>
      <c r="L24" s="12" t="s">
        <v>226</v>
      </c>
      <c r="M24" s="12">
        <f>Business_Table[[#This Row],[Sales_Amount]]-Business_Table[[#This Row],[Cost_Amount]]</f>
        <v>1052</v>
      </c>
      <c r="N24" s="13">
        <f>Business_Table[[#This Row],[Profit]]/Business_Table[[#This Row],[Sales_Amount]]</f>
        <v>0.43760399334442596</v>
      </c>
    </row>
    <row r="25" spans="1:14" x14ac:dyDescent="0.3">
      <c r="A25" s="10" t="s">
        <v>35</v>
      </c>
      <c r="B25" s="11">
        <v>45307</v>
      </c>
      <c r="C25" s="12" t="s">
        <v>195</v>
      </c>
      <c r="D25" s="12" t="s">
        <v>202</v>
      </c>
      <c r="E25" s="12" t="s">
        <v>209</v>
      </c>
      <c r="F25" s="12" t="s">
        <v>211</v>
      </c>
      <c r="G25" s="12" t="s">
        <v>213</v>
      </c>
      <c r="H25" s="12" t="s">
        <v>217</v>
      </c>
      <c r="I25" s="12">
        <v>4</v>
      </c>
      <c r="J25" s="12">
        <v>14966</v>
      </c>
      <c r="K25" s="12">
        <v>9731</v>
      </c>
      <c r="L25" s="12" t="s">
        <v>225</v>
      </c>
      <c r="M25" s="12">
        <f>Business_Table[[#This Row],[Sales_Amount]]-Business_Table[[#This Row],[Cost_Amount]]</f>
        <v>5235</v>
      </c>
      <c r="N25" s="13">
        <f>Business_Table[[#This Row],[Profit]]/Business_Table[[#This Row],[Sales_Amount]]</f>
        <v>0.34979286382466923</v>
      </c>
    </row>
    <row r="26" spans="1:14" x14ac:dyDescent="0.3">
      <c r="A26" s="10" t="s">
        <v>36</v>
      </c>
      <c r="B26" s="11">
        <v>45434</v>
      </c>
      <c r="C26" s="12" t="s">
        <v>193</v>
      </c>
      <c r="D26" s="12" t="s">
        <v>201</v>
      </c>
      <c r="E26" s="12" t="s">
        <v>209</v>
      </c>
      <c r="F26" s="12" t="s">
        <v>211</v>
      </c>
      <c r="G26" s="12" t="s">
        <v>213</v>
      </c>
      <c r="H26" s="12" t="s">
        <v>217</v>
      </c>
      <c r="I26" s="12">
        <v>7</v>
      </c>
      <c r="J26" s="12">
        <v>12212</v>
      </c>
      <c r="K26" s="12">
        <v>9639</v>
      </c>
      <c r="L26" s="12" t="s">
        <v>226</v>
      </c>
      <c r="M26" s="12">
        <f>Business_Table[[#This Row],[Sales_Amount]]-Business_Table[[#This Row],[Cost_Amount]]</f>
        <v>2573</v>
      </c>
      <c r="N26" s="13">
        <f>Business_Table[[#This Row],[Profit]]/Business_Table[[#This Row],[Sales_Amount]]</f>
        <v>0.21069439895185063</v>
      </c>
    </row>
    <row r="27" spans="1:14" x14ac:dyDescent="0.3">
      <c r="A27" s="10" t="s">
        <v>37</v>
      </c>
      <c r="B27" s="11">
        <v>45372</v>
      </c>
      <c r="C27" s="12" t="s">
        <v>193</v>
      </c>
      <c r="D27" s="12" t="s">
        <v>199</v>
      </c>
      <c r="E27" s="12" t="s">
        <v>208</v>
      </c>
      <c r="F27" s="12" t="s">
        <v>210</v>
      </c>
      <c r="G27" s="12" t="s">
        <v>212</v>
      </c>
      <c r="H27" s="12" t="s">
        <v>216</v>
      </c>
      <c r="I27" s="12">
        <v>10</v>
      </c>
      <c r="J27" s="12">
        <v>12854</v>
      </c>
      <c r="K27" s="12">
        <v>8812</v>
      </c>
      <c r="L27" s="12" t="s">
        <v>227</v>
      </c>
      <c r="M27" s="12">
        <f>Business_Table[[#This Row],[Sales_Amount]]-Business_Table[[#This Row],[Cost_Amount]]</f>
        <v>4042</v>
      </c>
      <c r="N27" s="13">
        <f>Business_Table[[#This Row],[Profit]]/Business_Table[[#This Row],[Sales_Amount]]</f>
        <v>0.3144546444686479</v>
      </c>
    </row>
    <row r="28" spans="1:14" x14ac:dyDescent="0.3">
      <c r="A28" s="10" t="s">
        <v>38</v>
      </c>
      <c r="B28" s="11">
        <v>45444</v>
      </c>
      <c r="C28" s="12" t="s">
        <v>194</v>
      </c>
      <c r="D28" s="12" t="s">
        <v>200</v>
      </c>
      <c r="E28" s="12" t="s">
        <v>208</v>
      </c>
      <c r="F28" s="12" t="s">
        <v>210</v>
      </c>
      <c r="G28" s="12" t="s">
        <v>212</v>
      </c>
      <c r="H28" s="12" t="s">
        <v>215</v>
      </c>
      <c r="I28" s="12">
        <v>2</v>
      </c>
      <c r="J28" s="12">
        <v>14748</v>
      </c>
      <c r="K28" s="12">
        <v>8796</v>
      </c>
      <c r="L28" s="12" t="s">
        <v>224</v>
      </c>
      <c r="M28" s="12">
        <f>Business_Table[[#This Row],[Sales_Amount]]-Business_Table[[#This Row],[Cost_Amount]]</f>
        <v>5952</v>
      </c>
      <c r="N28" s="13">
        <f>Business_Table[[#This Row],[Profit]]/Business_Table[[#This Row],[Sales_Amount]]</f>
        <v>0.40358014646053703</v>
      </c>
    </row>
    <row r="29" spans="1:14" x14ac:dyDescent="0.3">
      <c r="A29" s="10" t="s">
        <v>39</v>
      </c>
      <c r="B29" s="11">
        <v>45460</v>
      </c>
      <c r="C29" s="12" t="s">
        <v>194</v>
      </c>
      <c r="D29" s="12" t="s">
        <v>203</v>
      </c>
      <c r="E29" s="12" t="s">
        <v>209</v>
      </c>
      <c r="F29" s="12" t="s">
        <v>210</v>
      </c>
      <c r="G29" s="12" t="s">
        <v>214</v>
      </c>
      <c r="H29" s="12" t="s">
        <v>218</v>
      </c>
      <c r="I29" s="12">
        <v>1</v>
      </c>
      <c r="J29" s="12">
        <v>10947</v>
      </c>
      <c r="K29" s="12">
        <v>6245</v>
      </c>
      <c r="L29" s="12" t="s">
        <v>226</v>
      </c>
      <c r="M29" s="12">
        <f>Business_Table[[#This Row],[Sales_Amount]]-Business_Table[[#This Row],[Cost_Amount]]</f>
        <v>4702</v>
      </c>
      <c r="N29" s="13">
        <f>Business_Table[[#This Row],[Profit]]/Business_Table[[#This Row],[Sales_Amount]]</f>
        <v>0.42952407052160407</v>
      </c>
    </row>
    <row r="30" spans="1:14" x14ac:dyDescent="0.3">
      <c r="A30" s="10" t="s">
        <v>40</v>
      </c>
      <c r="B30" s="11">
        <v>45368</v>
      </c>
      <c r="C30" s="12" t="s">
        <v>193</v>
      </c>
      <c r="D30" s="12" t="s">
        <v>198</v>
      </c>
      <c r="E30" s="12" t="s">
        <v>209</v>
      </c>
      <c r="F30" s="12" t="s">
        <v>211</v>
      </c>
      <c r="G30" s="12" t="s">
        <v>212</v>
      </c>
      <c r="H30" s="12" t="s">
        <v>219</v>
      </c>
      <c r="I30" s="12">
        <v>7</v>
      </c>
      <c r="J30" s="12">
        <v>2944</v>
      </c>
      <c r="K30" s="12">
        <v>2113</v>
      </c>
      <c r="L30" s="12" t="s">
        <v>224</v>
      </c>
      <c r="M30" s="12">
        <f>Business_Table[[#This Row],[Sales_Amount]]-Business_Table[[#This Row],[Cost_Amount]]</f>
        <v>831</v>
      </c>
      <c r="N30" s="13">
        <f>Business_Table[[#This Row],[Profit]]/Business_Table[[#This Row],[Sales_Amount]]</f>
        <v>0.28226902173913043</v>
      </c>
    </row>
    <row r="31" spans="1:14" x14ac:dyDescent="0.3">
      <c r="A31" s="10" t="s">
        <v>41</v>
      </c>
      <c r="B31" s="11">
        <v>45421</v>
      </c>
      <c r="C31" s="12" t="s">
        <v>195</v>
      </c>
      <c r="D31" s="12" t="s">
        <v>206</v>
      </c>
      <c r="E31" s="12" t="s">
        <v>208</v>
      </c>
      <c r="F31" s="12" t="s">
        <v>210</v>
      </c>
      <c r="G31" s="12" t="s">
        <v>214</v>
      </c>
      <c r="H31" s="12" t="s">
        <v>218</v>
      </c>
      <c r="I31" s="12">
        <v>2</v>
      </c>
      <c r="J31" s="12">
        <v>2000</v>
      </c>
      <c r="K31" s="12">
        <v>1368</v>
      </c>
      <c r="L31" s="12" t="s">
        <v>224</v>
      </c>
      <c r="M31" s="12">
        <f>Business_Table[[#This Row],[Sales_Amount]]-Business_Table[[#This Row],[Cost_Amount]]</f>
        <v>632</v>
      </c>
      <c r="N31" s="13">
        <f>Business_Table[[#This Row],[Profit]]/Business_Table[[#This Row],[Sales_Amount]]</f>
        <v>0.316</v>
      </c>
    </row>
    <row r="32" spans="1:14" x14ac:dyDescent="0.3">
      <c r="A32" s="10" t="s">
        <v>42</v>
      </c>
      <c r="B32" s="11">
        <v>45472</v>
      </c>
      <c r="C32" s="12" t="s">
        <v>194</v>
      </c>
      <c r="D32" s="12" t="s">
        <v>204</v>
      </c>
      <c r="E32" s="12" t="s">
        <v>208</v>
      </c>
      <c r="F32" s="12" t="s">
        <v>210</v>
      </c>
      <c r="G32" s="12" t="s">
        <v>213</v>
      </c>
      <c r="H32" s="12" t="s">
        <v>217</v>
      </c>
      <c r="I32" s="12">
        <v>3</v>
      </c>
      <c r="J32" s="12">
        <v>7979</v>
      </c>
      <c r="K32" s="12">
        <v>6051</v>
      </c>
      <c r="L32" s="12" t="s">
        <v>224</v>
      </c>
      <c r="M32" s="12">
        <f>Business_Table[[#This Row],[Sales_Amount]]-Business_Table[[#This Row],[Cost_Amount]]</f>
        <v>1928</v>
      </c>
      <c r="N32" s="13">
        <f>Business_Table[[#This Row],[Profit]]/Business_Table[[#This Row],[Sales_Amount]]</f>
        <v>0.24163429001127962</v>
      </c>
    </row>
    <row r="33" spans="1:14" x14ac:dyDescent="0.3">
      <c r="A33" s="10" t="s">
        <v>43</v>
      </c>
      <c r="B33" s="11">
        <v>45361</v>
      </c>
      <c r="C33" s="12" t="s">
        <v>194</v>
      </c>
      <c r="D33" s="12" t="s">
        <v>204</v>
      </c>
      <c r="E33" s="12" t="s">
        <v>208</v>
      </c>
      <c r="F33" s="12" t="s">
        <v>210</v>
      </c>
      <c r="G33" s="12" t="s">
        <v>213</v>
      </c>
      <c r="H33" s="12" t="s">
        <v>222</v>
      </c>
      <c r="I33" s="12">
        <v>2</v>
      </c>
      <c r="J33" s="12">
        <v>12963</v>
      </c>
      <c r="K33" s="12">
        <v>8922</v>
      </c>
      <c r="L33" s="12" t="s">
        <v>226</v>
      </c>
      <c r="M33" s="12">
        <f>Business_Table[[#This Row],[Sales_Amount]]-Business_Table[[#This Row],[Cost_Amount]]</f>
        <v>4041</v>
      </c>
      <c r="N33" s="13">
        <f>Business_Table[[#This Row],[Profit]]/Business_Table[[#This Row],[Sales_Amount]]</f>
        <v>0.31173339504744274</v>
      </c>
    </row>
    <row r="34" spans="1:14" x14ac:dyDescent="0.3">
      <c r="A34" s="10" t="s">
        <v>44</v>
      </c>
      <c r="B34" s="11">
        <v>45454</v>
      </c>
      <c r="C34" s="12" t="s">
        <v>193</v>
      </c>
      <c r="D34" s="12" t="s">
        <v>198</v>
      </c>
      <c r="E34" s="12" t="s">
        <v>209</v>
      </c>
      <c r="F34" s="12" t="s">
        <v>211</v>
      </c>
      <c r="G34" s="12" t="s">
        <v>214</v>
      </c>
      <c r="H34" s="12" t="s">
        <v>221</v>
      </c>
      <c r="I34" s="12">
        <v>5</v>
      </c>
      <c r="J34" s="12">
        <v>14662</v>
      </c>
      <c r="K34" s="12">
        <v>8250</v>
      </c>
      <c r="L34" s="12" t="s">
        <v>224</v>
      </c>
      <c r="M34" s="12">
        <f>Business_Table[[#This Row],[Sales_Amount]]-Business_Table[[#This Row],[Cost_Amount]]</f>
        <v>6412</v>
      </c>
      <c r="N34" s="13">
        <f>Business_Table[[#This Row],[Profit]]/Business_Table[[#This Row],[Sales_Amount]]</f>
        <v>0.43732096576183332</v>
      </c>
    </row>
    <row r="35" spans="1:14" x14ac:dyDescent="0.3">
      <c r="A35" s="10" t="s">
        <v>45</v>
      </c>
      <c r="B35" s="11">
        <v>45433</v>
      </c>
      <c r="C35" s="12" t="s">
        <v>193</v>
      </c>
      <c r="D35" s="12" t="s">
        <v>201</v>
      </c>
      <c r="E35" s="12" t="s">
        <v>209</v>
      </c>
      <c r="F35" s="12" t="s">
        <v>211</v>
      </c>
      <c r="G35" s="12" t="s">
        <v>212</v>
      </c>
      <c r="H35" s="12" t="s">
        <v>215</v>
      </c>
      <c r="I35" s="12">
        <v>5</v>
      </c>
      <c r="J35" s="12">
        <v>3447</v>
      </c>
      <c r="K35" s="12">
        <v>2534</v>
      </c>
      <c r="L35" s="12" t="s">
        <v>224</v>
      </c>
      <c r="M35" s="12">
        <f>Business_Table[[#This Row],[Sales_Amount]]-Business_Table[[#This Row],[Cost_Amount]]</f>
        <v>913</v>
      </c>
      <c r="N35" s="13">
        <f>Business_Table[[#This Row],[Profit]]/Business_Table[[#This Row],[Sales_Amount]]</f>
        <v>0.26486800116042936</v>
      </c>
    </row>
    <row r="36" spans="1:14" x14ac:dyDescent="0.3">
      <c r="A36" s="10" t="s">
        <v>46</v>
      </c>
      <c r="B36" s="11">
        <v>45441</v>
      </c>
      <c r="C36" s="12" t="s">
        <v>192</v>
      </c>
      <c r="D36" s="12" t="s">
        <v>196</v>
      </c>
      <c r="E36" s="12" t="s">
        <v>208</v>
      </c>
      <c r="F36" s="12" t="s">
        <v>210</v>
      </c>
      <c r="G36" s="12" t="s">
        <v>214</v>
      </c>
      <c r="H36" s="12" t="s">
        <v>223</v>
      </c>
      <c r="I36" s="12">
        <v>9</v>
      </c>
      <c r="J36" s="12">
        <v>1390</v>
      </c>
      <c r="K36" s="12">
        <v>1054</v>
      </c>
      <c r="L36" s="12" t="s">
        <v>226</v>
      </c>
      <c r="M36" s="12">
        <f>Business_Table[[#This Row],[Sales_Amount]]-Business_Table[[#This Row],[Cost_Amount]]</f>
        <v>336</v>
      </c>
      <c r="N36" s="13">
        <f>Business_Table[[#This Row],[Profit]]/Business_Table[[#This Row],[Sales_Amount]]</f>
        <v>0.24172661870503598</v>
      </c>
    </row>
    <row r="37" spans="1:14" x14ac:dyDescent="0.3">
      <c r="A37" s="10" t="s">
        <v>47</v>
      </c>
      <c r="B37" s="11">
        <v>45355</v>
      </c>
      <c r="C37" s="12" t="s">
        <v>192</v>
      </c>
      <c r="D37" s="12" t="s">
        <v>196</v>
      </c>
      <c r="E37" s="12" t="s">
        <v>208</v>
      </c>
      <c r="F37" s="12" t="s">
        <v>210</v>
      </c>
      <c r="G37" s="12" t="s">
        <v>213</v>
      </c>
      <c r="H37" s="12" t="s">
        <v>217</v>
      </c>
      <c r="I37" s="12">
        <v>1</v>
      </c>
      <c r="J37" s="12">
        <v>6662</v>
      </c>
      <c r="K37" s="12">
        <v>4013</v>
      </c>
      <c r="L37" s="12" t="s">
        <v>227</v>
      </c>
      <c r="M37" s="12">
        <f>Business_Table[[#This Row],[Sales_Amount]]-Business_Table[[#This Row],[Cost_Amount]]</f>
        <v>2649</v>
      </c>
      <c r="N37" s="13">
        <f>Business_Table[[#This Row],[Profit]]/Business_Table[[#This Row],[Sales_Amount]]</f>
        <v>0.39762833983788654</v>
      </c>
    </row>
    <row r="38" spans="1:14" x14ac:dyDescent="0.3">
      <c r="A38" s="10" t="s">
        <v>48</v>
      </c>
      <c r="B38" s="11">
        <v>45337</v>
      </c>
      <c r="C38" s="12" t="s">
        <v>195</v>
      </c>
      <c r="D38" s="12" t="s">
        <v>206</v>
      </c>
      <c r="E38" s="12" t="s">
        <v>208</v>
      </c>
      <c r="F38" s="12" t="s">
        <v>211</v>
      </c>
      <c r="G38" s="12" t="s">
        <v>214</v>
      </c>
      <c r="H38" s="12" t="s">
        <v>218</v>
      </c>
      <c r="I38" s="12">
        <v>3</v>
      </c>
      <c r="J38" s="12">
        <v>4678</v>
      </c>
      <c r="K38" s="12">
        <v>3584</v>
      </c>
      <c r="L38" s="12" t="s">
        <v>228</v>
      </c>
      <c r="M38" s="12">
        <f>Business_Table[[#This Row],[Sales_Amount]]-Business_Table[[#This Row],[Cost_Amount]]</f>
        <v>1094</v>
      </c>
      <c r="N38" s="13">
        <f>Business_Table[[#This Row],[Profit]]/Business_Table[[#This Row],[Sales_Amount]]</f>
        <v>0.23386062419837536</v>
      </c>
    </row>
    <row r="39" spans="1:14" x14ac:dyDescent="0.3">
      <c r="A39" s="10" t="s">
        <v>49</v>
      </c>
      <c r="B39" s="11">
        <v>45471</v>
      </c>
      <c r="C39" s="12" t="s">
        <v>195</v>
      </c>
      <c r="D39" s="12" t="s">
        <v>202</v>
      </c>
      <c r="E39" s="12" t="s">
        <v>209</v>
      </c>
      <c r="F39" s="12" t="s">
        <v>211</v>
      </c>
      <c r="G39" s="12" t="s">
        <v>214</v>
      </c>
      <c r="H39" s="12" t="s">
        <v>218</v>
      </c>
      <c r="I39" s="12">
        <v>4</v>
      </c>
      <c r="J39" s="12">
        <v>5171</v>
      </c>
      <c r="K39" s="12">
        <v>3049</v>
      </c>
      <c r="L39" s="12" t="s">
        <v>225</v>
      </c>
      <c r="M39" s="12">
        <f>Business_Table[[#This Row],[Sales_Amount]]-Business_Table[[#This Row],[Cost_Amount]]</f>
        <v>2122</v>
      </c>
      <c r="N39" s="13">
        <f>Business_Table[[#This Row],[Profit]]/Business_Table[[#This Row],[Sales_Amount]]</f>
        <v>0.4103654999033069</v>
      </c>
    </row>
    <row r="40" spans="1:14" x14ac:dyDescent="0.3">
      <c r="A40" s="10" t="s">
        <v>50</v>
      </c>
      <c r="B40" s="11">
        <v>45350</v>
      </c>
      <c r="C40" s="12" t="s">
        <v>194</v>
      </c>
      <c r="D40" s="12" t="s">
        <v>200</v>
      </c>
      <c r="E40" s="12" t="s">
        <v>208</v>
      </c>
      <c r="F40" s="12" t="s">
        <v>211</v>
      </c>
      <c r="G40" s="12" t="s">
        <v>212</v>
      </c>
      <c r="H40" s="12" t="s">
        <v>219</v>
      </c>
      <c r="I40" s="12">
        <v>6</v>
      </c>
      <c r="J40" s="12">
        <v>5800</v>
      </c>
      <c r="K40" s="12">
        <v>4379</v>
      </c>
      <c r="L40" s="12" t="s">
        <v>225</v>
      </c>
      <c r="M40" s="12">
        <f>Business_Table[[#This Row],[Sales_Amount]]-Business_Table[[#This Row],[Cost_Amount]]</f>
        <v>1421</v>
      </c>
      <c r="N40" s="13">
        <f>Business_Table[[#This Row],[Profit]]/Business_Table[[#This Row],[Sales_Amount]]</f>
        <v>0.245</v>
      </c>
    </row>
    <row r="41" spans="1:14" x14ac:dyDescent="0.3">
      <c r="A41" s="10" t="s">
        <v>51</v>
      </c>
      <c r="B41" s="11">
        <v>45394</v>
      </c>
      <c r="C41" s="12" t="s">
        <v>193</v>
      </c>
      <c r="D41" s="12" t="s">
        <v>201</v>
      </c>
      <c r="E41" s="12" t="s">
        <v>209</v>
      </c>
      <c r="F41" s="12" t="s">
        <v>211</v>
      </c>
      <c r="G41" s="12" t="s">
        <v>213</v>
      </c>
      <c r="H41" s="12" t="s">
        <v>222</v>
      </c>
      <c r="I41" s="12">
        <v>5</v>
      </c>
      <c r="J41" s="12">
        <v>6553</v>
      </c>
      <c r="K41" s="12">
        <v>4655</v>
      </c>
      <c r="L41" s="12" t="s">
        <v>224</v>
      </c>
      <c r="M41" s="12">
        <f>Business_Table[[#This Row],[Sales_Amount]]-Business_Table[[#This Row],[Cost_Amount]]</f>
        <v>1898</v>
      </c>
      <c r="N41" s="13">
        <f>Business_Table[[#This Row],[Profit]]/Business_Table[[#This Row],[Sales_Amount]]</f>
        <v>0.28963833358766977</v>
      </c>
    </row>
    <row r="42" spans="1:14" x14ac:dyDescent="0.3">
      <c r="A42" s="10" t="s">
        <v>52</v>
      </c>
      <c r="B42" s="11">
        <v>45403</v>
      </c>
      <c r="C42" s="12" t="s">
        <v>193</v>
      </c>
      <c r="D42" s="12" t="s">
        <v>198</v>
      </c>
      <c r="E42" s="12" t="s">
        <v>209</v>
      </c>
      <c r="F42" s="12" t="s">
        <v>210</v>
      </c>
      <c r="G42" s="12" t="s">
        <v>212</v>
      </c>
      <c r="H42" s="12" t="s">
        <v>215</v>
      </c>
      <c r="I42" s="12">
        <v>5</v>
      </c>
      <c r="J42" s="12">
        <v>1426</v>
      </c>
      <c r="K42" s="12">
        <v>822</v>
      </c>
      <c r="L42" s="12" t="s">
        <v>227</v>
      </c>
      <c r="M42" s="12">
        <f>Business_Table[[#This Row],[Sales_Amount]]-Business_Table[[#This Row],[Cost_Amount]]</f>
        <v>604</v>
      </c>
      <c r="N42" s="13">
        <f>Business_Table[[#This Row],[Profit]]/Business_Table[[#This Row],[Sales_Amount]]</f>
        <v>0.42356241234221598</v>
      </c>
    </row>
    <row r="43" spans="1:14" x14ac:dyDescent="0.3">
      <c r="A43" s="10" t="s">
        <v>53</v>
      </c>
      <c r="B43" s="11">
        <v>45403</v>
      </c>
      <c r="C43" s="12" t="s">
        <v>192</v>
      </c>
      <c r="D43" s="12" t="s">
        <v>197</v>
      </c>
      <c r="E43" s="12" t="s">
        <v>208</v>
      </c>
      <c r="F43" s="12" t="s">
        <v>210</v>
      </c>
      <c r="G43" s="12" t="s">
        <v>213</v>
      </c>
      <c r="H43" s="12" t="s">
        <v>220</v>
      </c>
      <c r="I43" s="12">
        <v>4</v>
      </c>
      <c r="J43" s="12">
        <v>4973</v>
      </c>
      <c r="K43" s="12">
        <v>2790</v>
      </c>
      <c r="L43" s="12" t="s">
        <v>225</v>
      </c>
      <c r="M43" s="12">
        <f>Business_Table[[#This Row],[Sales_Amount]]-Business_Table[[#This Row],[Cost_Amount]]</f>
        <v>2183</v>
      </c>
      <c r="N43" s="13">
        <f>Business_Table[[#This Row],[Profit]]/Business_Table[[#This Row],[Sales_Amount]]</f>
        <v>0.43897044037804145</v>
      </c>
    </row>
    <row r="44" spans="1:14" x14ac:dyDescent="0.3">
      <c r="A44" s="10" t="s">
        <v>54</v>
      </c>
      <c r="B44" s="11">
        <v>45323</v>
      </c>
      <c r="C44" s="12" t="s">
        <v>192</v>
      </c>
      <c r="D44" s="12" t="s">
        <v>196</v>
      </c>
      <c r="E44" s="12" t="s">
        <v>209</v>
      </c>
      <c r="F44" s="12" t="s">
        <v>210</v>
      </c>
      <c r="G44" s="12" t="s">
        <v>214</v>
      </c>
      <c r="H44" s="12" t="s">
        <v>221</v>
      </c>
      <c r="I44" s="12">
        <v>10</v>
      </c>
      <c r="J44" s="12">
        <v>5943</v>
      </c>
      <c r="K44" s="12">
        <v>4254</v>
      </c>
      <c r="L44" s="12" t="s">
        <v>225</v>
      </c>
      <c r="M44" s="12">
        <f>Business_Table[[#This Row],[Sales_Amount]]-Business_Table[[#This Row],[Cost_Amount]]</f>
        <v>1689</v>
      </c>
      <c r="N44" s="13">
        <f>Business_Table[[#This Row],[Profit]]/Business_Table[[#This Row],[Sales_Amount]]</f>
        <v>0.28419989904088844</v>
      </c>
    </row>
    <row r="45" spans="1:14" x14ac:dyDescent="0.3">
      <c r="A45" s="10" t="s">
        <v>55</v>
      </c>
      <c r="B45" s="11">
        <v>45399</v>
      </c>
      <c r="C45" s="12" t="s">
        <v>193</v>
      </c>
      <c r="D45" s="12" t="s">
        <v>201</v>
      </c>
      <c r="E45" s="12" t="s">
        <v>209</v>
      </c>
      <c r="F45" s="12" t="s">
        <v>211</v>
      </c>
      <c r="G45" s="12" t="s">
        <v>213</v>
      </c>
      <c r="H45" s="12" t="s">
        <v>220</v>
      </c>
      <c r="I45" s="12">
        <v>5</v>
      </c>
      <c r="J45" s="12">
        <v>9883</v>
      </c>
      <c r="K45" s="12">
        <v>5750</v>
      </c>
      <c r="L45" s="12" t="s">
        <v>227</v>
      </c>
      <c r="M45" s="12">
        <f>Business_Table[[#This Row],[Sales_Amount]]-Business_Table[[#This Row],[Cost_Amount]]</f>
        <v>4133</v>
      </c>
      <c r="N45" s="13">
        <f>Business_Table[[#This Row],[Profit]]/Business_Table[[#This Row],[Sales_Amount]]</f>
        <v>0.41819285642011533</v>
      </c>
    </row>
    <row r="46" spans="1:14" x14ac:dyDescent="0.3">
      <c r="A46" s="10" t="s">
        <v>56</v>
      </c>
      <c r="B46" s="11">
        <v>45402</v>
      </c>
      <c r="C46" s="12" t="s">
        <v>193</v>
      </c>
      <c r="D46" s="12" t="s">
        <v>201</v>
      </c>
      <c r="E46" s="12" t="s">
        <v>209</v>
      </c>
      <c r="F46" s="12" t="s">
        <v>210</v>
      </c>
      <c r="G46" s="12" t="s">
        <v>213</v>
      </c>
      <c r="H46" s="12" t="s">
        <v>220</v>
      </c>
      <c r="I46" s="12">
        <v>1</v>
      </c>
      <c r="J46" s="12">
        <v>5778</v>
      </c>
      <c r="K46" s="12">
        <v>3592</v>
      </c>
      <c r="L46" s="12" t="s">
        <v>225</v>
      </c>
      <c r="M46" s="12">
        <f>Business_Table[[#This Row],[Sales_Amount]]-Business_Table[[#This Row],[Cost_Amount]]</f>
        <v>2186</v>
      </c>
      <c r="N46" s="13">
        <f>Business_Table[[#This Row],[Profit]]/Business_Table[[#This Row],[Sales_Amount]]</f>
        <v>0.37833160263066806</v>
      </c>
    </row>
    <row r="47" spans="1:14" x14ac:dyDescent="0.3">
      <c r="A47" s="10" t="s">
        <v>57</v>
      </c>
      <c r="B47" s="11">
        <v>45335</v>
      </c>
      <c r="C47" s="12" t="s">
        <v>195</v>
      </c>
      <c r="D47" s="12" t="s">
        <v>205</v>
      </c>
      <c r="E47" s="12" t="s">
        <v>208</v>
      </c>
      <c r="F47" s="12" t="s">
        <v>210</v>
      </c>
      <c r="G47" s="12" t="s">
        <v>214</v>
      </c>
      <c r="H47" s="12" t="s">
        <v>223</v>
      </c>
      <c r="I47" s="12">
        <v>9</v>
      </c>
      <c r="J47" s="12">
        <v>8552</v>
      </c>
      <c r="K47" s="12">
        <v>6400</v>
      </c>
      <c r="L47" s="12" t="s">
        <v>227</v>
      </c>
      <c r="M47" s="12">
        <f>Business_Table[[#This Row],[Sales_Amount]]-Business_Table[[#This Row],[Cost_Amount]]</f>
        <v>2152</v>
      </c>
      <c r="N47" s="13">
        <f>Business_Table[[#This Row],[Profit]]/Business_Table[[#This Row],[Sales_Amount]]</f>
        <v>0.25163704396632369</v>
      </c>
    </row>
    <row r="48" spans="1:14" x14ac:dyDescent="0.3">
      <c r="A48" s="10" t="s">
        <v>58</v>
      </c>
      <c r="B48" s="11">
        <v>45329</v>
      </c>
      <c r="C48" s="12" t="s">
        <v>193</v>
      </c>
      <c r="D48" s="12" t="s">
        <v>199</v>
      </c>
      <c r="E48" s="12" t="s">
        <v>208</v>
      </c>
      <c r="F48" s="12" t="s">
        <v>211</v>
      </c>
      <c r="G48" s="12" t="s">
        <v>212</v>
      </c>
      <c r="H48" s="12" t="s">
        <v>216</v>
      </c>
      <c r="I48" s="12">
        <v>5</v>
      </c>
      <c r="J48" s="12">
        <v>4480</v>
      </c>
      <c r="K48" s="12">
        <v>3367</v>
      </c>
      <c r="L48" s="12" t="s">
        <v>225</v>
      </c>
      <c r="M48" s="12">
        <f>Business_Table[[#This Row],[Sales_Amount]]-Business_Table[[#This Row],[Cost_Amount]]</f>
        <v>1113</v>
      </c>
      <c r="N48" s="13">
        <f>Business_Table[[#This Row],[Profit]]/Business_Table[[#This Row],[Sales_Amount]]</f>
        <v>0.24843750000000001</v>
      </c>
    </row>
    <row r="49" spans="1:14" x14ac:dyDescent="0.3">
      <c r="A49" s="10" t="s">
        <v>59</v>
      </c>
      <c r="B49" s="11">
        <v>45390</v>
      </c>
      <c r="C49" s="12" t="s">
        <v>192</v>
      </c>
      <c r="D49" s="12" t="s">
        <v>207</v>
      </c>
      <c r="E49" s="12" t="s">
        <v>209</v>
      </c>
      <c r="F49" s="12" t="s">
        <v>211</v>
      </c>
      <c r="G49" s="12" t="s">
        <v>213</v>
      </c>
      <c r="H49" s="12" t="s">
        <v>217</v>
      </c>
      <c r="I49" s="12">
        <v>10</v>
      </c>
      <c r="J49" s="12">
        <v>3985</v>
      </c>
      <c r="K49" s="12">
        <v>2907</v>
      </c>
      <c r="L49" s="12" t="s">
        <v>226</v>
      </c>
      <c r="M49" s="12">
        <f>Business_Table[[#This Row],[Sales_Amount]]-Business_Table[[#This Row],[Cost_Amount]]</f>
        <v>1078</v>
      </c>
      <c r="N49" s="13">
        <f>Business_Table[[#This Row],[Profit]]/Business_Table[[#This Row],[Sales_Amount]]</f>
        <v>0.27051442910915935</v>
      </c>
    </row>
    <row r="50" spans="1:14" x14ac:dyDescent="0.3">
      <c r="A50" s="10" t="s">
        <v>60</v>
      </c>
      <c r="B50" s="11">
        <v>45470</v>
      </c>
      <c r="C50" s="12" t="s">
        <v>192</v>
      </c>
      <c r="D50" s="12" t="s">
        <v>196</v>
      </c>
      <c r="E50" s="12" t="s">
        <v>209</v>
      </c>
      <c r="F50" s="12" t="s">
        <v>211</v>
      </c>
      <c r="G50" s="12" t="s">
        <v>212</v>
      </c>
      <c r="H50" s="12" t="s">
        <v>219</v>
      </c>
      <c r="I50" s="12">
        <v>4</v>
      </c>
      <c r="J50" s="12">
        <v>3681</v>
      </c>
      <c r="K50" s="12">
        <v>2764</v>
      </c>
      <c r="L50" s="12" t="s">
        <v>227</v>
      </c>
      <c r="M50" s="12">
        <f>Business_Table[[#This Row],[Sales_Amount]]-Business_Table[[#This Row],[Cost_Amount]]</f>
        <v>917</v>
      </c>
      <c r="N50" s="13">
        <f>Business_Table[[#This Row],[Profit]]/Business_Table[[#This Row],[Sales_Amount]]</f>
        <v>0.24911708774789459</v>
      </c>
    </row>
    <row r="51" spans="1:14" x14ac:dyDescent="0.3">
      <c r="A51" s="10" t="s">
        <v>61</v>
      </c>
      <c r="B51" s="11">
        <v>45427</v>
      </c>
      <c r="C51" s="12" t="s">
        <v>194</v>
      </c>
      <c r="D51" s="12" t="s">
        <v>203</v>
      </c>
      <c r="E51" s="12" t="s">
        <v>209</v>
      </c>
      <c r="F51" s="12" t="s">
        <v>210</v>
      </c>
      <c r="G51" s="12" t="s">
        <v>212</v>
      </c>
      <c r="H51" s="12" t="s">
        <v>219</v>
      </c>
      <c r="I51" s="12">
        <v>3</v>
      </c>
      <c r="J51" s="12">
        <v>13930</v>
      </c>
      <c r="K51" s="12">
        <v>9279</v>
      </c>
      <c r="L51" s="12" t="s">
        <v>227</v>
      </c>
      <c r="M51" s="12">
        <f>Business_Table[[#This Row],[Sales_Amount]]-Business_Table[[#This Row],[Cost_Amount]]</f>
        <v>4651</v>
      </c>
      <c r="N51" s="13">
        <f>Business_Table[[#This Row],[Profit]]/Business_Table[[#This Row],[Sales_Amount]]</f>
        <v>0.33388370423546304</v>
      </c>
    </row>
    <row r="52" spans="1:14" x14ac:dyDescent="0.3">
      <c r="A52" s="10" t="s">
        <v>62</v>
      </c>
      <c r="B52" s="11">
        <v>45407</v>
      </c>
      <c r="C52" s="12" t="s">
        <v>195</v>
      </c>
      <c r="D52" s="12" t="s">
        <v>206</v>
      </c>
      <c r="E52" s="12" t="s">
        <v>208</v>
      </c>
      <c r="F52" s="12" t="s">
        <v>210</v>
      </c>
      <c r="G52" s="12" t="s">
        <v>214</v>
      </c>
      <c r="H52" s="12" t="s">
        <v>221</v>
      </c>
      <c r="I52" s="12">
        <v>3</v>
      </c>
      <c r="J52" s="12">
        <v>12984</v>
      </c>
      <c r="K52" s="12">
        <v>9937</v>
      </c>
      <c r="L52" s="12" t="s">
        <v>227</v>
      </c>
      <c r="M52" s="12">
        <f>Business_Table[[#This Row],[Sales_Amount]]-Business_Table[[#This Row],[Cost_Amount]]</f>
        <v>3047</v>
      </c>
      <c r="N52" s="13">
        <f>Business_Table[[#This Row],[Profit]]/Business_Table[[#This Row],[Sales_Amount]]</f>
        <v>0.23467344423906347</v>
      </c>
    </row>
    <row r="53" spans="1:14" x14ac:dyDescent="0.3">
      <c r="A53" s="10" t="s">
        <v>63</v>
      </c>
      <c r="B53" s="11">
        <v>45365</v>
      </c>
      <c r="C53" s="12" t="s">
        <v>195</v>
      </c>
      <c r="D53" s="12" t="s">
        <v>202</v>
      </c>
      <c r="E53" s="12" t="s">
        <v>209</v>
      </c>
      <c r="F53" s="12" t="s">
        <v>210</v>
      </c>
      <c r="G53" s="12" t="s">
        <v>214</v>
      </c>
      <c r="H53" s="12" t="s">
        <v>223</v>
      </c>
      <c r="I53" s="12">
        <v>5</v>
      </c>
      <c r="J53" s="12">
        <v>8006</v>
      </c>
      <c r="K53" s="12">
        <v>4558</v>
      </c>
      <c r="L53" s="12" t="s">
        <v>228</v>
      </c>
      <c r="M53" s="12">
        <f>Business_Table[[#This Row],[Sales_Amount]]-Business_Table[[#This Row],[Cost_Amount]]</f>
        <v>3448</v>
      </c>
      <c r="N53" s="13">
        <f>Business_Table[[#This Row],[Profit]]/Business_Table[[#This Row],[Sales_Amount]]</f>
        <v>0.43067699225580813</v>
      </c>
    </row>
    <row r="54" spans="1:14" x14ac:dyDescent="0.3">
      <c r="A54" s="10" t="s">
        <v>64</v>
      </c>
      <c r="B54" s="11">
        <v>45472</v>
      </c>
      <c r="C54" s="12" t="s">
        <v>192</v>
      </c>
      <c r="D54" s="12" t="s">
        <v>197</v>
      </c>
      <c r="E54" s="12" t="s">
        <v>208</v>
      </c>
      <c r="F54" s="12" t="s">
        <v>210</v>
      </c>
      <c r="G54" s="12" t="s">
        <v>212</v>
      </c>
      <c r="H54" s="12" t="s">
        <v>216</v>
      </c>
      <c r="I54" s="12">
        <v>4</v>
      </c>
      <c r="J54" s="12">
        <v>7075</v>
      </c>
      <c r="K54" s="12">
        <v>5118</v>
      </c>
      <c r="L54" s="12" t="s">
        <v>225</v>
      </c>
      <c r="M54" s="12">
        <f>Business_Table[[#This Row],[Sales_Amount]]-Business_Table[[#This Row],[Cost_Amount]]</f>
        <v>1957</v>
      </c>
      <c r="N54" s="13">
        <f>Business_Table[[#This Row],[Profit]]/Business_Table[[#This Row],[Sales_Amount]]</f>
        <v>0.27660777385159013</v>
      </c>
    </row>
    <row r="55" spans="1:14" x14ac:dyDescent="0.3">
      <c r="A55" s="10" t="s">
        <v>65</v>
      </c>
      <c r="B55" s="11">
        <v>45399</v>
      </c>
      <c r="C55" s="12" t="s">
        <v>193</v>
      </c>
      <c r="D55" s="12" t="s">
        <v>198</v>
      </c>
      <c r="E55" s="12" t="s">
        <v>208</v>
      </c>
      <c r="F55" s="12" t="s">
        <v>210</v>
      </c>
      <c r="G55" s="12" t="s">
        <v>214</v>
      </c>
      <c r="H55" s="12" t="s">
        <v>221</v>
      </c>
      <c r="I55" s="12">
        <v>7</v>
      </c>
      <c r="J55" s="12">
        <v>1820</v>
      </c>
      <c r="K55" s="12">
        <v>1095</v>
      </c>
      <c r="L55" s="12" t="s">
        <v>225</v>
      </c>
      <c r="M55" s="12">
        <f>Business_Table[[#This Row],[Sales_Amount]]-Business_Table[[#This Row],[Cost_Amount]]</f>
        <v>725</v>
      </c>
      <c r="N55" s="13">
        <f>Business_Table[[#This Row],[Profit]]/Business_Table[[#This Row],[Sales_Amount]]</f>
        <v>0.39835164835164832</v>
      </c>
    </row>
    <row r="56" spans="1:14" x14ac:dyDescent="0.3">
      <c r="A56" s="10" t="s">
        <v>66</v>
      </c>
      <c r="B56" s="11">
        <v>45399</v>
      </c>
      <c r="C56" s="12" t="s">
        <v>192</v>
      </c>
      <c r="D56" s="12" t="s">
        <v>196</v>
      </c>
      <c r="E56" s="12" t="s">
        <v>208</v>
      </c>
      <c r="F56" s="12" t="s">
        <v>210</v>
      </c>
      <c r="G56" s="12" t="s">
        <v>213</v>
      </c>
      <c r="H56" s="12" t="s">
        <v>217</v>
      </c>
      <c r="I56" s="12">
        <v>7</v>
      </c>
      <c r="J56" s="12">
        <v>14782</v>
      </c>
      <c r="K56" s="12">
        <v>11425</v>
      </c>
      <c r="L56" s="12" t="s">
        <v>226</v>
      </c>
      <c r="M56" s="12">
        <f>Business_Table[[#This Row],[Sales_Amount]]-Business_Table[[#This Row],[Cost_Amount]]</f>
        <v>3357</v>
      </c>
      <c r="N56" s="13">
        <f>Business_Table[[#This Row],[Profit]]/Business_Table[[#This Row],[Sales_Amount]]</f>
        <v>0.22710052766878636</v>
      </c>
    </row>
    <row r="57" spans="1:14" x14ac:dyDescent="0.3">
      <c r="A57" s="10" t="s">
        <v>67</v>
      </c>
      <c r="B57" s="11">
        <v>45465</v>
      </c>
      <c r="C57" s="12" t="s">
        <v>193</v>
      </c>
      <c r="D57" s="12" t="s">
        <v>198</v>
      </c>
      <c r="E57" s="12" t="s">
        <v>208</v>
      </c>
      <c r="F57" s="12" t="s">
        <v>210</v>
      </c>
      <c r="G57" s="12" t="s">
        <v>213</v>
      </c>
      <c r="H57" s="12" t="s">
        <v>217</v>
      </c>
      <c r="I57" s="12">
        <v>1</v>
      </c>
      <c r="J57" s="12">
        <v>7171</v>
      </c>
      <c r="K57" s="12">
        <v>4546</v>
      </c>
      <c r="L57" s="12" t="s">
        <v>226</v>
      </c>
      <c r="M57" s="12">
        <f>Business_Table[[#This Row],[Sales_Amount]]-Business_Table[[#This Row],[Cost_Amount]]</f>
        <v>2625</v>
      </c>
      <c r="N57" s="13">
        <f>Business_Table[[#This Row],[Profit]]/Business_Table[[#This Row],[Sales_Amount]]</f>
        <v>0.36605773253381674</v>
      </c>
    </row>
    <row r="58" spans="1:14" x14ac:dyDescent="0.3">
      <c r="A58" s="10" t="s">
        <v>68</v>
      </c>
      <c r="B58" s="11">
        <v>45456</v>
      </c>
      <c r="C58" s="12" t="s">
        <v>192</v>
      </c>
      <c r="D58" s="12" t="s">
        <v>207</v>
      </c>
      <c r="E58" s="12" t="s">
        <v>208</v>
      </c>
      <c r="F58" s="12" t="s">
        <v>210</v>
      </c>
      <c r="G58" s="12" t="s">
        <v>213</v>
      </c>
      <c r="H58" s="12" t="s">
        <v>220</v>
      </c>
      <c r="I58" s="12">
        <v>10</v>
      </c>
      <c r="J58" s="12">
        <v>11662</v>
      </c>
      <c r="K58" s="12">
        <v>6493</v>
      </c>
      <c r="L58" s="12" t="s">
        <v>226</v>
      </c>
      <c r="M58" s="12">
        <f>Business_Table[[#This Row],[Sales_Amount]]-Business_Table[[#This Row],[Cost_Amount]]</f>
        <v>5169</v>
      </c>
      <c r="N58" s="13">
        <f>Business_Table[[#This Row],[Profit]]/Business_Table[[#This Row],[Sales_Amount]]</f>
        <v>0.44323443663179557</v>
      </c>
    </row>
    <row r="59" spans="1:14" x14ac:dyDescent="0.3">
      <c r="A59" s="10" t="s">
        <v>69</v>
      </c>
      <c r="B59" s="11">
        <v>45378</v>
      </c>
      <c r="C59" s="12" t="s">
        <v>192</v>
      </c>
      <c r="D59" s="12" t="s">
        <v>207</v>
      </c>
      <c r="E59" s="12" t="s">
        <v>209</v>
      </c>
      <c r="F59" s="12" t="s">
        <v>210</v>
      </c>
      <c r="G59" s="12" t="s">
        <v>213</v>
      </c>
      <c r="H59" s="12" t="s">
        <v>217</v>
      </c>
      <c r="I59" s="12">
        <v>6</v>
      </c>
      <c r="J59" s="12">
        <v>4267</v>
      </c>
      <c r="K59" s="12">
        <v>2831</v>
      </c>
      <c r="L59" s="12" t="s">
        <v>228</v>
      </c>
      <c r="M59" s="12">
        <f>Business_Table[[#This Row],[Sales_Amount]]-Business_Table[[#This Row],[Cost_Amount]]</f>
        <v>1436</v>
      </c>
      <c r="N59" s="13">
        <f>Business_Table[[#This Row],[Profit]]/Business_Table[[#This Row],[Sales_Amount]]</f>
        <v>0.33653620810874152</v>
      </c>
    </row>
    <row r="60" spans="1:14" x14ac:dyDescent="0.3">
      <c r="A60" s="10" t="s">
        <v>70</v>
      </c>
      <c r="B60" s="11">
        <v>45381</v>
      </c>
      <c r="C60" s="12" t="s">
        <v>192</v>
      </c>
      <c r="D60" s="12" t="s">
        <v>197</v>
      </c>
      <c r="E60" s="12" t="s">
        <v>208</v>
      </c>
      <c r="F60" s="12" t="s">
        <v>211</v>
      </c>
      <c r="G60" s="12" t="s">
        <v>213</v>
      </c>
      <c r="H60" s="12" t="s">
        <v>222</v>
      </c>
      <c r="I60" s="12">
        <v>9</v>
      </c>
      <c r="J60" s="12">
        <v>1653</v>
      </c>
      <c r="K60" s="12">
        <v>1322</v>
      </c>
      <c r="L60" s="12" t="s">
        <v>224</v>
      </c>
      <c r="M60" s="12">
        <f>Business_Table[[#This Row],[Sales_Amount]]-Business_Table[[#This Row],[Cost_Amount]]</f>
        <v>331</v>
      </c>
      <c r="N60" s="13">
        <f>Business_Table[[#This Row],[Profit]]/Business_Table[[#This Row],[Sales_Amount]]</f>
        <v>0.20024198427102238</v>
      </c>
    </row>
    <row r="61" spans="1:14" x14ac:dyDescent="0.3">
      <c r="A61" s="10" t="s">
        <v>71</v>
      </c>
      <c r="B61" s="11">
        <v>45413</v>
      </c>
      <c r="C61" s="12" t="s">
        <v>194</v>
      </c>
      <c r="D61" s="12" t="s">
        <v>203</v>
      </c>
      <c r="E61" s="12" t="s">
        <v>208</v>
      </c>
      <c r="F61" s="12" t="s">
        <v>211</v>
      </c>
      <c r="G61" s="12" t="s">
        <v>212</v>
      </c>
      <c r="H61" s="12" t="s">
        <v>216</v>
      </c>
      <c r="I61" s="12">
        <v>10</v>
      </c>
      <c r="J61" s="12">
        <v>3296</v>
      </c>
      <c r="K61" s="12">
        <v>2009</v>
      </c>
      <c r="L61" s="12" t="s">
        <v>225</v>
      </c>
      <c r="M61" s="12">
        <f>Business_Table[[#This Row],[Sales_Amount]]-Business_Table[[#This Row],[Cost_Amount]]</f>
        <v>1287</v>
      </c>
      <c r="N61" s="13">
        <f>Business_Table[[#This Row],[Profit]]/Business_Table[[#This Row],[Sales_Amount]]</f>
        <v>0.39047330097087379</v>
      </c>
    </row>
    <row r="62" spans="1:14" x14ac:dyDescent="0.3">
      <c r="A62" s="10" t="s">
        <v>72</v>
      </c>
      <c r="B62" s="11">
        <v>45321</v>
      </c>
      <c r="C62" s="12" t="s">
        <v>193</v>
      </c>
      <c r="D62" s="12" t="s">
        <v>199</v>
      </c>
      <c r="E62" s="12" t="s">
        <v>209</v>
      </c>
      <c r="F62" s="12" t="s">
        <v>211</v>
      </c>
      <c r="G62" s="12" t="s">
        <v>213</v>
      </c>
      <c r="H62" s="12" t="s">
        <v>222</v>
      </c>
      <c r="I62" s="12">
        <v>10</v>
      </c>
      <c r="J62" s="12">
        <v>10749</v>
      </c>
      <c r="K62" s="12">
        <v>8501</v>
      </c>
      <c r="L62" s="12" t="s">
        <v>227</v>
      </c>
      <c r="M62" s="12">
        <f>Business_Table[[#This Row],[Sales_Amount]]-Business_Table[[#This Row],[Cost_Amount]]</f>
        <v>2248</v>
      </c>
      <c r="N62" s="13">
        <f>Business_Table[[#This Row],[Profit]]/Business_Table[[#This Row],[Sales_Amount]]</f>
        <v>0.20913573355660992</v>
      </c>
    </row>
    <row r="63" spans="1:14" x14ac:dyDescent="0.3">
      <c r="A63" s="10" t="s">
        <v>73</v>
      </c>
      <c r="B63" s="11">
        <v>45342</v>
      </c>
      <c r="C63" s="12" t="s">
        <v>192</v>
      </c>
      <c r="D63" s="12" t="s">
        <v>197</v>
      </c>
      <c r="E63" s="12" t="s">
        <v>208</v>
      </c>
      <c r="F63" s="12" t="s">
        <v>211</v>
      </c>
      <c r="G63" s="12" t="s">
        <v>213</v>
      </c>
      <c r="H63" s="12" t="s">
        <v>220</v>
      </c>
      <c r="I63" s="12">
        <v>7</v>
      </c>
      <c r="J63" s="12">
        <v>7298</v>
      </c>
      <c r="K63" s="12">
        <v>5731</v>
      </c>
      <c r="L63" s="12" t="s">
        <v>228</v>
      </c>
      <c r="M63" s="12">
        <f>Business_Table[[#This Row],[Sales_Amount]]-Business_Table[[#This Row],[Cost_Amount]]</f>
        <v>1567</v>
      </c>
      <c r="N63" s="13">
        <f>Business_Table[[#This Row],[Profit]]/Business_Table[[#This Row],[Sales_Amount]]</f>
        <v>0.21471636064675254</v>
      </c>
    </row>
    <row r="64" spans="1:14" x14ac:dyDescent="0.3">
      <c r="A64" s="10" t="s">
        <v>74</v>
      </c>
      <c r="B64" s="11">
        <v>45386</v>
      </c>
      <c r="C64" s="12" t="s">
        <v>192</v>
      </c>
      <c r="D64" s="12" t="s">
        <v>197</v>
      </c>
      <c r="E64" s="12" t="s">
        <v>209</v>
      </c>
      <c r="F64" s="12" t="s">
        <v>211</v>
      </c>
      <c r="G64" s="12" t="s">
        <v>214</v>
      </c>
      <c r="H64" s="12" t="s">
        <v>223</v>
      </c>
      <c r="I64" s="12">
        <v>6</v>
      </c>
      <c r="J64" s="12">
        <v>9528</v>
      </c>
      <c r="K64" s="12">
        <v>6260</v>
      </c>
      <c r="L64" s="12" t="s">
        <v>225</v>
      </c>
      <c r="M64" s="12">
        <f>Business_Table[[#This Row],[Sales_Amount]]-Business_Table[[#This Row],[Cost_Amount]]</f>
        <v>3268</v>
      </c>
      <c r="N64" s="13">
        <f>Business_Table[[#This Row],[Profit]]/Business_Table[[#This Row],[Sales_Amount]]</f>
        <v>0.34298908480268681</v>
      </c>
    </row>
    <row r="65" spans="1:14" x14ac:dyDescent="0.3">
      <c r="A65" s="10" t="s">
        <v>75</v>
      </c>
      <c r="B65" s="11">
        <v>45409</v>
      </c>
      <c r="C65" s="12" t="s">
        <v>195</v>
      </c>
      <c r="D65" s="12" t="s">
        <v>205</v>
      </c>
      <c r="E65" s="12" t="s">
        <v>208</v>
      </c>
      <c r="F65" s="12" t="s">
        <v>210</v>
      </c>
      <c r="G65" s="12" t="s">
        <v>212</v>
      </c>
      <c r="H65" s="12" t="s">
        <v>219</v>
      </c>
      <c r="I65" s="12">
        <v>6</v>
      </c>
      <c r="J65" s="12">
        <v>11213</v>
      </c>
      <c r="K65" s="12">
        <v>8666</v>
      </c>
      <c r="L65" s="12" t="s">
        <v>226</v>
      </c>
      <c r="M65" s="12">
        <f>Business_Table[[#This Row],[Sales_Amount]]-Business_Table[[#This Row],[Cost_Amount]]</f>
        <v>2547</v>
      </c>
      <c r="N65" s="13">
        <f>Business_Table[[#This Row],[Profit]]/Business_Table[[#This Row],[Sales_Amount]]</f>
        <v>0.22714706144653526</v>
      </c>
    </row>
    <row r="66" spans="1:14" x14ac:dyDescent="0.3">
      <c r="A66" s="10" t="s">
        <v>76</v>
      </c>
      <c r="B66" s="11">
        <v>45443</v>
      </c>
      <c r="C66" s="12" t="s">
        <v>193</v>
      </c>
      <c r="D66" s="12" t="s">
        <v>198</v>
      </c>
      <c r="E66" s="12" t="s">
        <v>209</v>
      </c>
      <c r="F66" s="12" t="s">
        <v>211</v>
      </c>
      <c r="G66" s="12" t="s">
        <v>214</v>
      </c>
      <c r="H66" s="12" t="s">
        <v>218</v>
      </c>
      <c r="I66" s="12">
        <v>8</v>
      </c>
      <c r="J66" s="12">
        <v>8416</v>
      </c>
      <c r="K66" s="12">
        <v>5545</v>
      </c>
      <c r="L66" s="12" t="s">
        <v>224</v>
      </c>
      <c r="M66" s="12">
        <f>Business_Table[[#This Row],[Sales_Amount]]-Business_Table[[#This Row],[Cost_Amount]]</f>
        <v>2871</v>
      </c>
      <c r="N66" s="13">
        <f>Business_Table[[#This Row],[Profit]]/Business_Table[[#This Row],[Sales_Amount]]</f>
        <v>0.34113593155893535</v>
      </c>
    </row>
    <row r="67" spans="1:14" x14ac:dyDescent="0.3">
      <c r="A67" s="10" t="s">
        <v>77</v>
      </c>
      <c r="B67" s="11">
        <v>45389</v>
      </c>
      <c r="C67" s="12" t="s">
        <v>193</v>
      </c>
      <c r="D67" s="12" t="s">
        <v>198</v>
      </c>
      <c r="E67" s="12" t="s">
        <v>208</v>
      </c>
      <c r="F67" s="12" t="s">
        <v>210</v>
      </c>
      <c r="G67" s="12" t="s">
        <v>213</v>
      </c>
      <c r="H67" s="12" t="s">
        <v>222</v>
      </c>
      <c r="I67" s="12">
        <v>8</v>
      </c>
      <c r="J67" s="12">
        <v>10136</v>
      </c>
      <c r="K67" s="12">
        <v>7121</v>
      </c>
      <c r="L67" s="12" t="s">
        <v>228</v>
      </c>
      <c r="M67" s="12">
        <f>Business_Table[[#This Row],[Sales_Amount]]-Business_Table[[#This Row],[Cost_Amount]]</f>
        <v>3015</v>
      </c>
      <c r="N67" s="13">
        <f>Business_Table[[#This Row],[Profit]]/Business_Table[[#This Row],[Sales_Amount]]</f>
        <v>0.29745461720599842</v>
      </c>
    </row>
    <row r="68" spans="1:14" x14ac:dyDescent="0.3">
      <c r="A68" s="10" t="s">
        <v>78</v>
      </c>
      <c r="B68" s="11">
        <v>45363</v>
      </c>
      <c r="C68" s="12" t="s">
        <v>194</v>
      </c>
      <c r="D68" s="12" t="s">
        <v>203</v>
      </c>
      <c r="E68" s="12" t="s">
        <v>209</v>
      </c>
      <c r="F68" s="12" t="s">
        <v>211</v>
      </c>
      <c r="G68" s="12" t="s">
        <v>213</v>
      </c>
      <c r="H68" s="12" t="s">
        <v>222</v>
      </c>
      <c r="I68" s="12">
        <v>6</v>
      </c>
      <c r="J68" s="12">
        <v>13871</v>
      </c>
      <c r="K68" s="12">
        <v>8524</v>
      </c>
      <c r="L68" s="12" t="s">
        <v>227</v>
      </c>
      <c r="M68" s="12">
        <f>Business_Table[[#This Row],[Sales_Amount]]-Business_Table[[#This Row],[Cost_Amount]]</f>
        <v>5347</v>
      </c>
      <c r="N68" s="13">
        <f>Business_Table[[#This Row],[Profit]]/Business_Table[[#This Row],[Sales_Amount]]</f>
        <v>0.38548049888256075</v>
      </c>
    </row>
    <row r="69" spans="1:14" x14ac:dyDescent="0.3">
      <c r="A69" s="10" t="s">
        <v>79</v>
      </c>
      <c r="B69" s="11">
        <v>45353</v>
      </c>
      <c r="C69" s="12" t="s">
        <v>194</v>
      </c>
      <c r="D69" s="12" t="s">
        <v>203</v>
      </c>
      <c r="E69" s="12" t="s">
        <v>209</v>
      </c>
      <c r="F69" s="12" t="s">
        <v>210</v>
      </c>
      <c r="G69" s="12" t="s">
        <v>212</v>
      </c>
      <c r="H69" s="12" t="s">
        <v>216</v>
      </c>
      <c r="I69" s="12">
        <v>7</v>
      </c>
      <c r="J69" s="12">
        <v>8804</v>
      </c>
      <c r="K69" s="12">
        <v>6064</v>
      </c>
      <c r="L69" s="12" t="s">
        <v>225</v>
      </c>
      <c r="M69" s="12">
        <f>Business_Table[[#This Row],[Sales_Amount]]-Business_Table[[#This Row],[Cost_Amount]]</f>
        <v>2740</v>
      </c>
      <c r="N69" s="13">
        <f>Business_Table[[#This Row],[Profit]]/Business_Table[[#This Row],[Sales_Amount]]</f>
        <v>0.31122217174011813</v>
      </c>
    </row>
    <row r="70" spans="1:14" x14ac:dyDescent="0.3">
      <c r="A70" s="10" t="s">
        <v>80</v>
      </c>
      <c r="B70" s="11">
        <v>45370</v>
      </c>
      <c r="C70" s="12" t="s">
        <v>192</v>
      </c>
      <c r="D70" s="12" t="s">
        <v>196</v>
      </c>
      <c r="E70" s="12" t="s">
        <v>209</v>
      </c>
      <c r="F70" s="12" t="s">
        <v>210</v>
      </c>
      <c r="G70" s="12" t="s">
        <v>212</v>
      </c>
      <c r="H70" s="12" t="s">
        <v>219</v>
      </c>
      <c r="I70" s="12">
        <v>4</v>
      </c>
      <c r="J70" s="12">
        <v>7425</v>
      </c>
      <c r="K70" s="12">
        <v>5367</v>
      </c>
      <c r="L70" s="12" t="s">
        <v>227</v>
      </c>
      <c r="M70" s="12">
        <f>Business_Table[[#This Row],[Sales_Amount]]-Business_Table[[#This Row],[Cost_Amount]]</f>
        <v>2058</v>
      </c>
      <c r="N70" s="13">
        <f>Business_Table[[#This Row],[Profit]]/Business_Table[[#This Row],[Sales_Amount]]</f>
        <v>0.27717171717171718</v>
      </c>
    </row>
    <row r="71" spans="1:14" x14ac:dyDescent="0.3">
      <c r="A71" s="10" t="s">
        <v>81</v>
      </c>
      <c r="B71" s="11">
        <v>45408</v>
      </c>
      <c r="C71" s="12" t="s">
        <v>193</v>
      </c>
      <c r="D71" s="12" t="s">
        <v>198</v>
      </c>
      <c r="E71" s="12" t="s">
        <v>209</v>
      </c>
      <c r="F71" s="12" t="s">
        <v>210</v>
      </c>
      <c r="G71" s="12" t="s">
        <v>213</v>
      </c>
      <c r="H71" s="12" t="s">
        <v>220</v>
      </c>
      <c r="I71" s="12">
        <v>9</v>
      </c>
      <c r="J71" s="12">
        <v>6219</v>
      </c>
      <c r="K71" s="12">
        <v>3967</v>
      </c>
      <c r="L71" s="12" t="s">
        <v>226</v>
      </c>
      <c r="M71" s="12">
        <f>Business_Table[[#This Row],[Sales_Amount]]-Business_Table[[#This Row],[Cost_Amount]]</f>
        <v>2252</v>
      </c>
      <c r="N71" s="13">
        <f>Business_Table[[#This Row],[Profit]]/Business_Table[[#This Row],[Sales_Amount]]</f>
        <v>0.36211609583534332</v>
      </c>
    </row>
    <row r="72" spans="1:14" x14ac:dyDescent="0.3">
      <c r="A72" s="10" t="s">
        <v>82</v>
      </c>
      <c r="B72" s="11">
        <v>45468</v>
      </c>
      <c r="C72" s="12" t="s">
        <v>192</v>
      </c>
      <c r="D72" s="12" t="s">
        <v>197</v>
      </c>
      <c r="E72" s="12" t="s">
        <v>208</v>
      </c>
      <c r="F72" s="12" t="s">
        <v>211</v>
      </c>
      <c r="G72" s="12" t="s">
        <v>214</v>
      </c>
      <c r="H72" s="12" t="s">
        <v>223</v>
      </c>
      <c r="I72" s="12">
        <v>6</v>
      </c>
      <c r="J72" s="12">
        <v>2758</v>
      </c>
      <c r="K72" s="12">
        <v>2029</v>
      </c>
      <c r="L72" s="12" t="s">
        <v>225</v>
      </c>
      <c r="M72" s="12">
        <f>Business_Table[[#This Row],[Sales_Amount]]-Business_Table[[#This Row],[Cost_Amount]]</f>
        <v>729</v>
      </c>
      <c r="N72" s="13">
        <f>Business_Table[[#This Row],[Profit]]/Business_Table[[#This Row],[Sales_Amount]]</f>
        <v>0.26432197244379985</v>
      </c>
    </row>
    <row r="73" spans="1:14" x14ac:dyDescent="0.3">
      <c r="A73" s="10" t="s">
        <v>83</v>
      </c>
      <c r="B73" s="11">
        <v>45317</v>
      </c>
      <c r="C73" s="12" t="s">
        <v>193</v>
      </c>
      <c r="D73" s="12" t="s">
        <v>199</v>
      </c>
      <c r="E73" s="12" t="s">
        <v>209</v>
      </c>
      <c r="F73" s="12" t="s">
        <v>211</v>
      </c>
      <c r="G73" s="12" t="s">
        <v>214</v>
      </c>
      <c r="H73" s="12" t="s">
        <v>218</v>
      </c>
      <c r="I73" s="12">
        <v>9</v>
      </c>
      <c r="J73" s="12">
        <v>10577</v>
      </c>
      <c r="K73" s="12">
        <v>6565</v>
      </c>
      <c r="L73" s="12" t="s">
        <v>228</v>
      </c>
      <c r="M73" s="12">
        <f>Business_Table[[#This Row],[Sales_Amount]]-Business_Table[[#This Row],[Cost_Amount]]</f>
        <v>4012</v>
      </c>
      <c r="N73" s="13">
        <f>Business_Table[[#This Row],[Profit]]/Business_Table[[#This Row],[Sales_Amount]]</f>
        <v>0.3793136049919637</v>
      </c>
    </row>
    <row r="74" spans="1:14" x14ac:dyDescent="0.3">
      <c r="A74" s="10" t="s">
        <v>84</v>
      </c>
      <c r="B74" s="11">
        <v>45305</v>
      </c>
      <c r="C74" s="12" t="s">
        <v>194</v>
      </c>
      <c r="D74" s="12" t="s">
        <v>203</v>
      </c>
      <c r="E74" s="12" t="s">
        <v>209</v>
      </c>
      <c r="F74" s="12" t="s">
        <v>211</v>
      </c>
      <c r="G74" s="12" t="s">
        <v>213</v>
      </c>
      <c r="H74" s="12" t="s">
        <v>222</v>
      </c>
      <c r="I74" s="12">
        <v>9</v>
      </c>
      <c r="J74" s="12">
        <v>2873</v>
      </c>
      <c r="K74" s="12">
        <v>1777</v>
      </c>
      <c r="L74" s="12" t="s">
        <v>225</v>
      </c>
      <c r="M74" s="12">
        <f>Business_Table[[#This Row],[Sales_Amount]]-Business_Table[[#This Row],[Cost_Amount]]</f>
        <v>1096</v>
      </c>
      <c r="N74" s="13">
        <f>Business_Table[[#This Row],[Profit]]/Business_Table[[#This Row],[Sales_Amount]]</f>
        <v>0.38148277062304209</v>
      </c>
    </row>
    <row r="75" spans="1:14" x14ac:dyDescent="0.3">
      <c r="A75" s="10" t="s">
        <v>85</v>
      </c>
      <c r="B75" s="11">
        <v>45379</v>
      </c>
      <c r="C75" s="12" t="s">
        <v>192</v>
      </c>
      <c r="D75" s="12" t="s">
        <v>197</v>
      </c>
      <c r="E75" s="12" t="s">
        <v>208</v>
      </c>
      <c r="F75" s="12" t="s">
        <v>210</v>
      </c>
      <c r="G75" s="12" t="s">
        <v>212</v>
      </c>
      <c r="H75" s="12" t="s">
        <v>215</v>
      </c>
      <c r="I75" s="12">
        <v>5</v>
      </c>
      <c r="J75" s="12">
        <v>8490</v>
      </c>
      <c r="K75" s="12">
        <v>5685</v>
      </c>
      <c r="L75" s="12" t="s">
        <v>225</v>
      </c>
      <c r="M75" s="12">
        <f>Business_Table[[#This Row],[Sales_Amount]]-Business_Table[[#This Row],[Cost_Amount]]</f>
        <v>2805</v>
      </c>
      <c r="N75" s="13">
        <f>Business_Table[[#This Row],[Profit]]/Business_Table[[#This Row],[Sales_Amount]]</f>
        <v>0.33038869257950532</v>
      </c>
    </row>
    <row r="76" spans="1:14" x14ac:dyDescent="0.3">
      <c r="A76" s="10" t="s">
        <v>86</v>
      </c>
      <c r="B76" s="11">
        <v>45467</v>
      </c>
      <c r="C76" s="12" t="s">
        <v>192</v>
      </c>
      <c r="D76" s="12" t="s">
        <v>197</v>
      </c>
      <c r="E76" s="12" t="s">
        <v>208</v>
      </c>
      <c r="F76" s="12" t="s">
        <v>211</v>
      </c>
      <c r="G76" s="12" t="s">
        <v>212</v>
      </c>
      <c r="H76" s="12" t="s">
        <v>219</v>
      </c>
      <c r="I76" s="12">
        <v>8</v>
      </c>
      <c r="J76" s="12">
        <v>2013</v>
      </c>
      <c r="K76" s="12">
        <v>1397</v>
      </c>
      <c r="L76" s="12" t="s">
        <v>227</v>
      </c>
      <c r="M76" s="12">
        <f>Business_Table[[#This Row],[Sales_Amount]]-Business_Table[[#This Row],[Cost_Amount]]</f>
        <v>616</v>
      </c>
      <c r="N76" s="13">
        <f>Business_Table[[#This Row],[Profit]]/Business_Table[[#This Row],[Sales_Amount]]</f>
        <v>0.30601092896174864</v>
      </c>
    </row>
    <row r="77" spans="1:14" x14ac:dyDescent="0.3">
      <c r="A77" s="10" t="s">
        <v>87</v>
      </c>
      <c r="B77" s="11">
        <v>45447</v>
      </c>
      <c r="C77" s="12" t="s">
        <v>193</v>
      </c>
      <c r="D77" s="12" t="s">
        <v>201</v>
      </c>
      <c r="E77" s="12" t="s">
        <v>208</v>
      </c>
      <c r="F77" s="12" t="s">
        <v>210</v>
      </c>
      <c r="G77" s="12" t="s">
        <v>212</v>
      </c>
      <c r="H77" s="12" t="s">
        <v>216</v>
      </c>
      <c r="I77" s="12">
        <v>2</v>
      </c>
      <c r="J77" s="12">
        <v>9943</v>
      </c>
      <c r="K77" s="12">
        <v>7368</v>
      </c>
      <c r="L77" s="12" t="s">
        <v>225</v>
      </c>
      <c r="M77" s="12">
        <f>Business_Table[[#This Row],[Sales_Amount]]-Business_Table[[#This Row],[Cost_Amount]]</f>
        <v>2575</v>
      </c>
      <c r="N77" s="13">
        <f>Business_Table[[#This Row],[Profit]]/Business_Table[[#This Row],[Sales_Amount]]</f>
        <v>0.25897616413557278</v>
      </c>
    </row>
    <row r="78" spans="1:14" x14ac:dyDescent="0.3">
      <c r="A78" s="10" t="s">
        <v>88</v>
      </c>
      <c r="B78" s="11">
        <v>45307</v>
      </c>
      <c r="C78" s="12" t="s">
        <v>195</v>
      </c>
      <c r="D78" s="12" t="s">
        <v>205</v>
      </c>
      <c r="E78" s="12" t="s">
        <v>208</v>
      </c>
      <c r="F78" s="12" t="s">
        <v>211</v>
      </c>
      <c r="G78" s="12" t="s">
        <v>213</v>
      </c>
      <c r="H78" s="12" t="s">
        <v>220</v>
      </c>
      <c r="I78" s="12">
        <v>7</v>
      </c>
      <c r="J78" s="12">
        <v>5803</v>
      </c>
      <c r="K78" s="12">
        <v>4016</v>
      </c>
      <c r="L78" s="12" t="s">
        <v>226</v>
      </c>
      <c r="M78" s="12">
        <f>Business_Table[[#This Row],[Sales_Amount]]-Business_Table[[#This Row],[Cost_Amount]]</f>
        <v>1787</v>
      </c>
      <c r="N78" s="13">
        <f>Business_Table[[#This Row],[Profit]]/Business_Table[[#This Row],[Sales_Amount]]</f>
        <v>0.30794416681027054</v>
      </c>
    </row>
    <row r="79" spans="1:14" x14ac:dyDescent="0.3">
      <c r="A79" s="10" t="s">
        <v>89</v>
      </c>
      <c r="B79" s="11">
        <v>45311</v>
      </c>
      <c r="C79" s="12" t="s">
        <v>193</v>
      </c>
      <c r="D79" s="12" t="s">
        <v>199</v>
      </c>
      <c r="E79" s="12" t="s">
        <v>208</v>
      </c>
      <c r="F79" s="12" t="s">
        <v>210</v>
      </c>
      <c r="G79" s="12" t="s">
        <v>214</v>
      </c>
      <c r="H79" s="12" t="s">
        <v>223</v>
      </c>
      <c r="I79" s="12">
        <v>3</v>
      </c>
      <c r="J79" s="12">
        <v>4729</v>
      </c>
      <c r="K79" s="12">
        <v>2806</v>
      </c>
      <c r="L79" s="12" t="s">
        <v>225</v>
      </c>
      <c r="M79" s="12">
        <f>Business_Table[[#This Row],[Sales_Amount]]-Business_Table[[#This Row],[Cost_Amount]]</f>
        <v>1923</v>
      </c>
      <c r="N79" s="13">
        <f>Business_Table[[#This Row],[Profit]]/Business_Table[[#This Row],[Sales_Amount]]</f>
        <v>0.40663988158172976</v>
      </c>
    </row>
    <row r="80" spans="1:14" x14ac:dyDescent="0.3">
      <c r="A80" s="10" t="s">
        <v>90</v>
      </c>
      <c r="B80" s="11">
        <v>45471</v>
      </c>
      <c r="C80" s="12" t="s">
        <v>195</v>
      </c>
      <c r="D80" s="12" t="s">
        <v>206</v>
      </c>
      <c r="E80" s="12" t="s">
        <v>208</v>
      </c>
      <c r="F80" s="12" t="s">
        <v>211</v>
      </c>
      <c r="G80" s="12" t="s">
        <v>213</v>
      </c>
      <c r="H80" s="12" t="s">
        <v>222</v>
      </c>
      <c r="I80" s="12">
        <v>4</v>
      </c>
      <c r="J80" s="12">
        <v>5520</v>
      </c>
      <c r="K80" s="12">
        <v>4011</v>
      </c>
      <c r="L80" s="12" t="s">
        <v>228</v>
      </c>
      <c r="M80" s="12">
        <f>Business_Table[[#This Row],[Sales_Amount]]-Business_Table[[#This Row],[Cost_Amount]]</f>
        <v>1509</v>
      </c>
      <c r="N80" s="13">
        <f>Business_Table[[#This Row],[Profit]]/Business_Table[[#This Row],[Sales_Amount]]</f>
        <v>0.27336956521739131</v>
      </c>
    </row>
    <row r="81" spans="1:14" x14ac:dyDescent="0.3">
      <c r="A81" s="10" t="s">
        <v>91</v>
      </c>
      <c r="B81" s="11">
        <v>45360</v>
      </c>
      <c r="C81" s="12" t="s">
        <v>194</v>
      </c>
      <c r="D81" s="12" t="s">
        <v>200</v>
      </c>
      <c r="E81" s="12" t="s">
        <v>208</v>
      </c>
      <c r="F81" s="12" t="s">
        <v>211</v>
      </c>
      <c r="G81" s="12" t="s">
        <v>213</v>
      </c>
      <c r="H81" s="12" t="s">
        <v>222</v>
      </c>
      <c r="I81" s="12">
        <v>9</v>
      </c>
      <c r="J81" s="12">
        <v>4483</v>
      </c>
      <c r="K81" s="12">
        <v>3191</v>
      </c>
      <c r="L81" s="12" t="s">
        <v>226</v>
      </c>
      <c r="M81" s="12">
        <f>Business_Table[[#This Row],[Sales_Amount]]-Business_Table[[#This Row],[Cost_Amount]]</f>
        <v>1292</v>
      </c>
      <c r="N81" s="13">
        <f>Business_Table[[#This Row],[Profit]]/Business_Table[[#This Row],[Sales_Amount]]</f>
        <v>0.28819986616105286</v>
      </c>
    </row>
    <row r="82" spans="1:14" x14ac:dyDescent="0.3">
      <c r="A82" s="10" t="s">
        <v>92</v>
      </c>
      <c r="B82" s="11">
        <v>45411</v>
      </c>
      <c r="C82" s="12" t="s">
        <v>193</v>
      </c>
      <c r="D82" s="12" t="s">
        <v>201</v>
      </c>
      <c r="E82" s="12" t="s">
        <v>209</v>
      </c>
      <c r="F82" s="12" t="s">
        <v>210</v>
      </c>
      <c r="G82" s="12" t="s">
        <v>214</v>
      </c>
      <c r="H82" s="12" t="s">
        <v>218</v>
      </c>
      <c r="I82" s="12">
        <v>10</v>
      </c>
      <c r="J82" s="12">
        <v>5528</v>
      </c>
      <c r="K82" s="12">
        <v>3647</v>
      </c>
      <c r="L82" s="12" t="s">
        <v>228</v>
      </c>
      <c r="M82" s="12">
        <f>Business_Table[[#This Row],[Sales_Amount]]-Business_Table[[#This Row],[Cost_Amount]]</f>
        <v>1881</v>
      </c>
      <c r="N82" s="13">
        <f>Business_Table[[#This Row],[Profit]]/Business_Table[[#This Row],[Sales_Amount]]</f>
        <v>0.34026772793053545</v>
      </c>
    </row>
    <row r="83" spans="1:14" x14ac:dyDescent="0.3">
      <c r="A83" s="10" t="s">
        <v>93</v>
      </c>
      <c r="B83" s="11">
        <v>45374</v>
      </c>
      <c r="C83" s="12" t="s">
        <v>195</v>
      </c>
      <c r="D83" s="12" t="s">
        <v>205</v>
      </c>
      <c r="E83" s="12" t="s">
        <v>209</v>
      </c>
      <c r="F83" s="12" t="s">
        <v>211</v>
      </c>
      <c r="G83" s="12" t="s">
        <v>213</v>
      </c>
      <c r="H83" s="12" t="s">
        <v>222</v>
      </c>
      <c r="I83" s="12">
        <v>10</v>
      </c>
      <c r="J83" s="12">
        <v>1453</v>
      </c>
      <c r="K83" s="12">
        <v>1122</v>
      </c>
      <c r="L83" s="12" t="s">
        <v>224</v>
      </c>
      <c r="M83" s="12">
        <f>Business_Table[[#This Row],[Sales_Amount]]-Business_Table[[#This Row],[Cost_Amount]]</f>
        <v>331</v>
      </c>
      <c r="N83" s="13">
        <f>Business_Table[[#This Row],[Profit]]/Business_Table[[#This Row],[Sales_Amount]]</f>
        <v>0.2278045423262216</v>
      </c>
    </row>
    <row r="84" spans="1:14" x14ac:dyDescent="0.3">
      <c r="A84" s="10" t="s">
        <v>94</v>
      </c>
      <c r="B84" s="11">
        <v>45464</v>
      </c>
      <c r="C84" s="12" t="s">
        <v>194</v>
      </c>
      <c r="D84" s="12" t="s">
        <v>204</v>
      </c>
      <c r="E84" s="12" t="s">
        <v>208</v>
      </c>
      <c r="F84" s="12" t="s">
        <v>211</v>
      </c>
      <c r="G84" s="12" t="s">
        <v>214</v>
      </c>
      <c r="H84" s="12" t="s">
        <v>218</v>
      </c>
      <c r="I84" s="12">
        <v>10</v>
      </c>
      <c r="J84" s="12">
        <v>1139</v>
      </c>
      <c r="K84" s="12">
        <v>911</v>
      </c>
      <c r="L84" s="12" t="s">
        <v>225</v>
      </c>
      <c r="M84" s="12">
        <f>Business_Table[[#This Row],[Sales_Amount]]-Business_Table[[#This Row],[Cost_Amount]]</f>
        <v>228</v>
      </c>
      <c r="N84" s="13">
        <f>Business_Table[[#This Row],[Profit]]/Business_Table[[#This Row],[Sales_Amount]]</f>
        <v>0.20017559262510976</v>
      </c>
    </row>
    <row r="85" spans="1:14" x14ac:dyDescent="0.3">
      <c r="A85" s="10" t="s">
        <v>95</v>
      </c>
      <c r="B85" s="11">
        <v>45417</v>
      </c>
      <c r="C85" s="12" t="s">
        <v>195</v>
      </c>
      <c r="D85" s="12" t="s">
        <v>202</v>
      </c>
      <c r="E85" s="12" t="s">
        <v>209</v>
      </c>
      <c r="F85" s="12" t="s">
        <v>210</v>
      </c>
      <c r="G85" s="12" t="s">
        <v>213</v>
      </c>
      <c r="H85" s="12" t="s">
        <v>222</v>
      </c>
      <c r="I85" s="12">
        <v>10</v>
      </c>
      <c r="J85" s="12">
        <v>7941</v>
      </c>
      <c r="K85" s="12">
        <v>5627</v>
      </c>
      <c r="L85" s="12" t="s">
        <v>225</v>
      </c>
      <c r="M85" s="12">
        <f>Business_Table[[#This Row],[Sales_Amount]]-Business_Table[[#This Row],[Cost_Amount]]</f>
        <v>2314</v>
      </c>
      <c r="N85" s="13">
        <f>Business_Table[[#This Row],[Profit]]/Business_Table[[#This Row],[Sales_Amount]]</f>
        <v>0.29139906812743988</v>
      </c>
    </row>
    <row r="86" spans="1:14" x14ac:dyDescent="0.3">
      <c r="A86" s="10" t="s">
        <v>96</v>
      </c>
      <c r="B86" s="11">
        <v>45397</v>
      </c>
      <c r="C86" s="12" t="s">
        <v>193</v>
      </c>
      <c r="D86" s="12" t="s">
        <v>201</v>
      </c>
      <c r="E86" s="12" t="s">
        <v>209</v>
      </c>
      <c r="F86" s="12" t="s">
        <v>210</v>
      </c>
      <c r="G86" s="12" t="s">
        <v>213</v>
      </c>
      <c r="H86" s="12" t="s">
        <v>220</v>
      </c>
      <c r="I86" s="12">
        <v>2</v>
      </c>
      <c r="J86" s="12">
        <v>14853</v>
      </c>
      <c r="K86" s="12">
        <v>8766</v>
      </c>
      <c r="L86" s="12" t="s">
        <v>225</v>
      </c>
      <c r="M86" s="12">
        <f>Business_Table[[#This Row],[Sales_Amount]]-Business_Table[[#This Row],[Cost_Amount]]</f>
        <v>6087</v>
      </c>
      <c r="N86" s="13">
        <f>Business_Table[[#This Row],[Profit]]/Business_Table[[#This Row],[Sales_Amount]]</f>
        <v>0.40981619874772773</v>
      </c>
    </row>
    <row r="87" spans="1:14" x14ac:dyDescent="0.3">
      <c r="A87" s="10" t="s">
        <v>97</v>
      </c>
      <c r="B87" s="11">
        <v>45395</v>
      </c>
      <c r="C87" s="12" t="s">
        <v>192</v>
      </c>
      <c r="D87" s="12" t="s">
        <v>196</v>
      </c>
      <c r="E87" s="12" t="s">
        <v>208</v>
      </c>
      <c r="F87" s="12" t="s">
        <v>210</v>
      </c>
      <c r="G87" s="12" t="s">
        <v>213</v>
      </c>
      <c r="H87" s="12" t="s">
        <v>222</v>
      </c>
      <c r="I87" s="12">
        <v>6</v>
      </c>
      <c r="J87" s="12">
        <v>4935</v>
      </c>
      <c r="K87" s="12">
        <v>3113</v>
      </c>
      <c r="L87" s="12" t="s">
        <v>225</v>
      </c>
      <c r="M87" s="12">
        <f>Business_Table[[#This Row],[Sales_Amount]]-Business_Table[[#This Row],[Cost_Amount]]</f>
        <v>1822</v>
      </c>
      <c r="N87" s="13">
        <f>Business_Table[[#This Row],[Profit]]/Business_Table[[#This Row],[Sales_Amount]]</f>
        <v>0.36919959473150965</v>
      </c>
    </row>
    <row r="88" spans="1:14" x14ac:dyDescent="0.3">
      <c r="A88" s="10" t="s">
        <v>98</v>
      </c>
      <c r="B88" s="11">
        <v>45452</v>
      </c>
      <c r="C88" s="12" t="s">
        <v>192</v>
      </c>
      <c r="D88" s="12" t="s">
        <v>207</v>
      </c>
      <c r="E88" s="12" t="s">
        <v>208</v>
      </c>
      <c r="F88" s="12" t="s">
        <v>211</v>
      </c>
      <c r="G88" s="12" t="s">
        <v>212</v>
      </c>
      <c r="H88" s="12" t="s">
        <v>215</v>
      </c>
      <c r="I88" s="12">
        <v>6</v>
      </c>
      <c r="J88" s="12">
        <v>11001</v>
      </c>
      <c r="K88" s="12">
        <v>8130</v>
      </c>
      <c r="L88" s="12" t="s">
        <v>228</v>
      </c>
      <c r="M88" s="12">
        <f>Business_Table[[#This Row],[Sales_Amount]]-Business_Table[[#This Row],[Cost_Amount]]</f>
        <v>2871</v>
      </c>
      <c r="N88" s="13">
        <f>Business_Table[[#This Row],[Profit]]/Business_Table[[#This Row],[Sales_Amount]]</f>
        <v>0.26097627488410147</v>
      </c>
    </row>
    <row r="89" spans="1:14" x14ac:dyDescent="0.3">
      <c r="A89" s="10" t="s">
        <v>99</v>
      </c>
      <c r="B89" s="11">
        <v>45453</v>
      </c>
      <c r="C89" s="12" t="s">
        <v>194</v>
      </c>
      <c r="D89" s="12" t="s">
        <v>203</v>
      </c>
      <c r="E89" s="12" t="s">
        <v>208</v>
      </c>
      <c r="F89" s="12" t="s">
        <v>211</v>
      </c>
      <c r="G89" s="12" t="s">
        <v>213</v>
      </c>
      <c r="H89" s="12" t="s">
        <v>217</v>
      </c>
      <c r="I89" s="12">
        <v>8</v>
      </c>
      <c r="J89" s="12">
        <v>2789</v>
      </c>
      <c r="K89" s="12">
        <v>1554</v>
      </c>
      <c r="L89" s="12" t="s">
        <v>228</v>
      </c>
      <c r="M89" s="12">
        <f>Business_Table[[#This Row],[Sales_Amount]]-Business_Table[[#This Row],[Cost_Amount]]</f>
        <v>1235</v>
      </c>
      <c r="N89" s="13">
        <f>Business_Table[[#This Row],[Profit]]/Business_Table[[#This Row],[Sales_Amount]]</f>
        <v>0.44281104338472571</v>
      </c>
    </row>
    <row r="90" spans="1:14" x14ac:dyDescent="0.3">
      <c r="A90" s="10" t="s">
        <v>100</v>
      </c>
      <c r="B90" s="11">
        <v>45321</v>
      </c>
      <c r="C90" s="12" t="s">
        <v>192</v>
      </c>
      <c r="D90" s="12" t="s">
        <v>207</v>
      </c>
      <c r="E90" s="12" t="s">
        <v>208</v>
      </c>
      <c r="F90" s="12" t="s">
        <v>211</v>
      </c>
      <c r="G90" s="12" t="s">
        <v>214</v>
      </c>
      <c r="H90" s="12" t="s">
        <v>221</v>
      </c>
      <c r="I90" s="12">
        <v>2</v>
      </c>
      <c r="J90" s="12">
        <v>4481</v>
      </c>
      <c r="K90" s="12">
        <v>3576</v>
      </c>
      <c r="L90" s="12" t="s">
        <v>225</v>
      </c>
      <c r="M90" s="12">
        <f>Business_Table[[#This Row],[Sales_Amount]]-Business_Table[[#This Row],[Cost_Amount]]</f>
        <v>905</v>
      </c>
      <c r="N90" s="13">
        <f>Business_Table[[#This Row],[Profit]]/Business_Table[[#This Row],[Sales_Amount]]</f>
        <v>0.20196384735550099</v>
      </c>
    </row>
    <row r="91" spans="1:14" x14ac:dyDescent="0.3">
      <c r="A91" s="10" t="s">
        <v>101</v>
      </c>
      <c r="B91" s="11">
        <v>45412</v>
      </c>
      <c r="C91" s="12" t="s">
        <v>193</v>
      </c>
      <c r="D91" s="12" t="s">
        <v>199</v>
      </c>
      <c r="E91" s="12" t="s">
        <v>209</v>
      </c>
      <c r="F91" s="12" t="s">
        <v>211</v>
      </c>
      <c r="G91" s="12" t="s">
        <v>214</v>
      </c>
      <c r="H91" s="12" t="s">
        <v>218</v>
      </c>
      <c r="I91" s="12">
        <v>5</v>
      </c>
      <c r="J91" s="12">
        <v>7607</v>
      </c>
      <c r="K91" s="12">
        <v>5771</v>
      </c>
      <c r="L91" s="12" t="s">
        <v>225</v>
      </c>
      <c r="M91" s="12">
        <f>Business_Table[[#This Row],[Sales_Amount]]-Business_Table[[#This Row],[Cost_Amount]]</f>
        <v>1836</v>
      </c>
      <c r="N91" s="13">
        <f>Business_Table[[#This Row],[Profit]]/Business_Table[[#This Row],[Sales_Amount]]</f>
        <v>0.24135664519521494</v>
      </c>
    </row>
    <row r="92" spans="1:14" x14ac:dyDescent="0.3">
      <c r="A92" s="10" t="s">
        <v>102</v>
      </c>
      <c r="B92" s="11">
        <v>45398</v>
      </c>
      <c r="C92" s="12" t="s">
        <v>194</v>
      </c>
      <c r="D92" s="12" t="s">
        <v>204</v>
      </c>
      <c r="E92" s="12" t="s">
        <v>209</v>
      </c>
      <c r="F92" s="12" t="s">
        <v>211</v>
      </c>
      <c r="G92" s="12" t="s">
        <v>214</v>
      </c>
      <c r="H92" s="12" t="s">
        <v>218</v>
      </c>
      <c r="I92" s="12">
        <v>3</v>
      </c>
      <c r="J92" s="12">
        <v>14956</v>
      </c>
      <c r="K92" s="12">
        <v>8486</v>
      </c>
      <c r="L92" s="12" t="s">
        <v>228</v>
      </c>
      <c r="M92" s="12">
        <f>Business_Table[[#This Row],[Sales_Amount]]-Business_Table[[#This Row],[Cost_Amount]]</f>
        <v>6470</v>
      </c>
      <c r="N92" s="13">
        <f>Business_Table[[#This Row],[Profit]]/Business_Table[[#This Row],[Sales_Amount]]</f>
        <v>0.43260230008023537</v>
      </c>
    </row>
    <row r="93" spans="1:14" x14ac:dyDescent="0.3">
      <c r="A93" s="10" t="s">
        <v>103</v>
      </c>
      <c r="B93" s="11">
        <v>45429</v>
      </c>
      <c r="C93" s="12" t="s">
        <v>193</v>
      </c>
      <c r="D93" s="12" t="s">
        <v>198</v>
      </c>
      <c r="E93" s="12" t="s">
        <v>209</v>
      </c>
      <c r="F93" s="12" t="s">
        <v>210</v>
      </c>
      <c r="G93" s="12" t="s">
        <v>214</v>
      </c>
      <c r="H93" s="12" t="s">
        <v>218</v>
      </c>
      <c r="I93" s="12">
        <v>8</v>
      </c>
      <c r="J93" s="12">
        <v>14976</v>
      </c>
      <c r="K93" s="12">
        <v>8793</v>
      </c>
      <c r="L93" s="12" t="s">
        <v>227</v>
      </c>
      <c r="M93" s="12">
        <f>Business_Table[[#This Row],[Sales_Amount]]-Business_Table[[#This Row],[Cost_Amount]]</f>
        <v>6183</v>
      </c>
      <c r="N93" s="13">
        <f>Business_Table[[#This Row],[Profit]]/Business_Table[[#This Row],[Sales_Amount]]</f>
        <v>0.41286057692307693</v>
      </c>
    </row>
    <row r="94" spans="1:14" x14ac:dyDescent="0.3">
      <c r="A94" s="10" t="s">
        <v>104</v>
      </c>
      <c r="B94" s="11">
        <v>45390</v>
      </c>
      <c r="C94" s="12" t="s">
        <v>195</v>
      </c>
      <c r="D94" s="12" t="s">
        <v>202</v>
      </c>
      <c r="E94" s="12" t="s">
        <v>209</v>
      </c>
      <c r="F94" s="12" t="s">
        <v>211</v>
      </c>
      <c r="G94" s="12" t="s">
        <v>213</v>
      </c>
      <c r="H94" s="12" t="s">
        <v>217</v>
      </c>
      <c r="I94" s="12">
        <v>4</v>
      </c>
      <c r="J94" s="12">
        <v>12227</v>
      </c>
      <c r="K94" s="12">
        <v>7454</v>
      </c>
      <c r="L94" s="12" t="s">
        <v>228</v>
      </c>
      <c r="M94" s="12">
        <f>Business_Table[[#This Row],[Sales_Amount]]-Business_Table[[#This Row],[Cost_Amount]]</f>
        <v>4773</v>
      </c>
      <c r="N94" s="13">
        <f>Business_Table[[#This Row],[Profit]]/Business_Table[[#This Row],[Sales_Amount]]</f>
        <v>0.39036558436247648</v>
      </c>
    </row>
    <row r="95" spans="1:14" x14ac:dyDescent="0.3">
      <c r="A95" s="10" t="s">
        <v>105</v>
      </c>
      <c r="B95" s="11">
        <v>45458</v>
      </c>
      <c r="C95" s="12" t="s">
        <v>195</v>
      </c>
      <c r="D95" s="12" t="s">
        <v>202</v>
      </c>
      <c r="E95" s="12" t="s">
        <v>209</v>
      </c>
      <c r="F95" s="12" t="s">
        <v>211</v>
      </c>
      <c r="G95" s="12" t="s">
        <v>214</v>
      </c>
      <c r="H95" s="12" t="s">
        <v>221</v>
      </c>
      <c r="I95" s="12">
        <v>7</v>
      </c>
      <c r="J95" s="12">
        <v>11673</v>
      </c>
      <c r="K95" s="12">
        <v>8732</v>
      </c>
      <c r="L95" s="12" t="s">
        <v>226</v>
      </c>
      <c r="M95" s="12">
        <f>Business_Table[[#This Row],[Sales_Amount]]-Business_Table[[#This Row],[Cost_Amount]]</f>
        <v>2941</v>
      </c>
      <c r="N95" s="13">
        <f>Business_Table[[#This Row],[Profit]]/Business_Table[[#This Row],[Sales_Amount]]</f>
        <v>0.25194894200291268</v>
      </c>
    </row>
    <row r="96" spans="1:14" x14ac:dyDescent="0.3">
      <c r="A96" s="10" t="s">
        <v>106</v>
      </c>
      <c r="B96" s="11">
        <v>45295</v>
      </c>
      <c r="C96" s="12" t="s">
        <v>193</v>
      </c>
      <c r="D96" s="12" t="s">
        <v>201</v>
      </c>
      <c r="E96" s="12" t="s">
        <v>208</v>
      </c>
      <c r="F96" s="12" t="s">
        <v>210</v>
      </c>
      <c r="G96" s="12" t="s">
        <v>212</v>
      </c>
      <c r="H96" s="12" t="s">
        <v>219</v>
      </c>
      <c r="I96" s="12">
        <v>2</v>
      </c>
      <c r="J96" s="12">
        <v>9417</v>
      </c>
      <c r="K96" s="12">
        <v>7322</v>
      </c>
      <c r="L96" s="12" t="s">
        <v>226</v>
      </c>
      <c r="M96" s="12">
        <f>Business_Table[[#This Row],[Sales_Amount]]-Business_Table[[#This Row],[Cost_Amount]]</f>
        <v>2095</v>
      </c>
      <c r="N96" s="13">
        <f>Business_Table[[#This Row],[Profit]]/Business_Table[[#This Row],[Sales_Amount]]</f>
        <v>0.22247000106190931</v>
      </c>
    </row>
    <row r="97" spans="1:14" x14ac:dyDescent="0.3">
      <c r="A97" s="10" t="s">
        <v>107</v>
      </c>
      <c r="B97" s="11">
        <v>45458</v>
      </c>
      <c r="C97" s="12" t="s">
        <v>192</v>
      </c>
      <c r="D97" s="12" t="s">
        <v>197</v>
      </c>
      <c r="E97" s="12" t="s">
        <v>209</v>
      </c>
      <c r="F97" s="12" t="s">
        <v>210</v>
      </c>
      <c r="G97" s="12" t="s">
        <v>213</v>
      </c>
      <c r="H97" s="12" t="s">
        <v>217</v>
      </c>
      <c r="I97" s="12">
        <v>6</v>
      </c>
      <c r="J97" s="12">
        <v>11011</v>
      </c>
      <c r="K97" s="12">
        <v>7962</v>
      </c>
      <c r="L97" s="12" t="s">
        <v>228</v>
      </c>
      <c r="M97" s="12">
        <f>Business_Table[[#This Row],[Sales_Amount]]-Business_Table[[#This Row],[Cost_Amount]]</f>
        <v>3049</v>
      </c>
      <c r="N97" s="13">
        <f>Business_Table[[#This Row],[Profit]]/Business_Table[[#This Row],[Sales_Amount]]</f>
        <v>0.27690491326854966</v>
      </c>
    </row>
    <row r="98" spans="1:14" x14ac:dyDescent="0.3">
      <c r="A98" s="10" t="s">
        <v>108</v>
      </c>
      <c r="B98" s="11">
        <v>45467</v>
      </c>
      <c r="C98" s="12" t="s">
        <v>195</v>
      </c>
      <c r="D98" s="12" t="s">
        <v>206</v>
      </c>
      <c r="E98" s="12" t="s">
        <v>208</v>
      </c>
      <c r="F98" s="12" t="s">
        <v>211</v>
      </c>
      <c r="G98" s="12" t="s">
        <v>214</v>
      </c>
      <c r="H98" s="12" t="s">
        <v>223</v>
      </c>
      <c r="I98" s="12">
        <v>10</v>
      </c>
      <c r="J98" s="12">
        <v>1921</v>
      </c>
      <c r="K98" s="12">
        <v>1169</v>
      </c>
      <c r="L98" s="12" t="s">
        <v>225</v>
      </c>
      <c r="M98" s="12">
        <f>Business_Table[[#This Row],[Sales_Amount]]-Business_Table[[#This Row],[Cost_Amount]]</f>
        <v>752</v>
      </c>
      <c r="N98" s="13">
        <f>Business_Table[[#This Row],[Profit]]/Business_Table[[#This Row],[Sales_Amount]]</f>
        <v>0.39146277980218636</v>
      </c>
    </row>
    <row r="99" spans="1:14" x14ac:dyDescent="0.3">
      <c r="A99" s="10" t="s">
        <v>109</v>
      </c>
      <c r="B99" s="11">
        <v>45368</v>
      </c>
      <c r="C99" s="12" t="s">
        <v>192</v>
      </c>
      <c r="D99" s="12" t="s">
        <v>197</v>
      </c>
      <c r="E99" s="12" t="s">
        <v>208</v>
      </c>
      <c r="F99" s="12" t="s">
        <v>210</v>
      </c>
      <c r="G99" s="12" t="s">
        <v>214</v>
      </c>
      <c r="H99" s="12" t="s">
        <v>218</v>
      </c>
      <c r="I99" s="12">
        <v>2</v>
      </c>
      <c r="J99" s="12">
        <v>8069</v>
      </c>
      <c r="K99" s="12">
        <v>4773</v>
      </c>
      <c r="L99" s="12" t="s">
        <v>224</v>
      </c>
      <c r="M99" s="12">
        <f>Business_Table[[#This Row],[Sales_Amount]]-Business_Table[[#This Row],[Cost_Amount]]</f>
        <v>3296</v>
      </c>
      <c r="N99" s="13">
        <f>Business_Table[[#This Row],[Profit]]/Business_Table[[#This Row],[Sales_Amount]]</f>
        <v>0.40847688685091088</v>
      </c>
    </row>
    <row r="100" spans="1:14" x14ac:dyDescent="0.3">
      <c r="A100" s="10" t="s">
        <v>110</v>
      </c>
      <c r="B100" s="11">
        <v>45397</v>
      </c>
      <c r="C100" s="12" t="s">
        <v>193</v>
      </c>
      <c r="D100" s="12" t="s">
        <v>201</v>
      </c>
      <c r="E100" s="12" t="s">
        <v>208</v>
      </c>
      <c r="F100" s="12" t="s">
        <v>211</v>
      </c>
      <c r="G100" s="12" t="s">
        <v>213</v>
      </c>
      <c r="H100" s="12" t="s">
        <v>217</v>
      </c>
      <c r="I100" s="12">
        <v>7</v>
      </c>
      <c r="J100" s="12">
        <v>3185</v>
      </c>
      <c r="K100" s="12">
        <v>1946</v>
      </c>
      <c r="L100" s="12" t="s">
        <v>226</v>
      </c>
      <c r="M100" s="12">
        <f>Business_Table[[#This Row],[Sales_Amount]]-Business_Table[[#This Row],[Cost_Amount]]</f>
        <v>1239</v>
      </c>
      <c r="N100" s="13">
        <f>Business_Table[[#This Row],[Profit]]/Business_Table[[#This Row],[Sales_Amount]]</f>
        <v>0.38901098901098902</v>
      </c>
    </row>
    <row r="101" spans="1:14" x14ac:dyDescent="0.3">
      <c r="A101" s="10" t="s">
        <v>111</v>
      </c>
      <c r="B101" s="11">
        <v>45441</v>
      </c>
      <c r="C101" s="12" t="s">
        <v>192</v>
      </c>
      <c r="D101" s="12" t="s">
        <v>197</v>
      </c>
      <c r="E101" s="12" t="s">
        <v>208</v>
      </c>
      <c r="F101" s="12" t="s">
        <v>210</v>
      </c>
      <c r="G101" s="12" t="s">
        <v>214</v>
      </c>
      <c r="H101" s="12" t="s">
        <v>221</v>
      </c>
      <c r="I101" s="12">
        <v>10</v>
      </c>
      <c r="J101" s="12">
        <v>11992</v>
      </c>
      <c r="K101" s="12">
        <v>7317</v>
      </c>
      <c r="L101" s="12" t="s">
        <v>228</v>
      </c>
      <c r="M101" s="12">
        <f>Business_Table[[#This Row],[Sales_Amount]]-Business_Table[[#This Row],[Cost_Amount]]</f>
        <v>4675</v>
      </c>
      <c r="N101" s="13">
        <f>Business_Table[[#This Row],[Profit]]/Business_Table[[#This Row],[Sales_Amount]]</f>
        <v>0.38984322881921279</v>
      </c>
    </row>
    <row r="102" spans="1:14" x14ac:dyDescent="0.3">
      <c r="A102" s="10" t="s">
        <v>112</v>
      </c>
      <c r="B102" s="11">
        <v>45365</v>
      </c>
      <c r="C102" s="12" t="s">
        <v>195</v>
      </c>
      <c r="D102" s="12" t="s">
        <v>205</v>
      </c>
      <c r="E102" s="12" t="s">
        <v>208</v>
      </c>
      <c r="F102" s="12" t="s">
        <v>211</v>
      </c>
      <c r="G102" s="12" t="s">
        <v>213</v>
      </c>
      <c r="H102" s="12" t="s">
        <v>220</v>
      </c>
      <c r="I102" s="12">
        <v>1</v>
      </c>
      <c r="J102" s="12">
        <v>13983</v>
      </c>
      <c r="K102" s="12">
        <v>9317</v>
      </c>
      <c r="L102" s="12" t="s">
        <v>225</v>
      </c>
      <c r="M102" s="12">
        <f>Business_Table[[#This Row],[Sales_Amount]]-Business_Table[[#This Row],[Cost_Amount]]</f>
        <v>4666</v>
      </c>
      <c r="N102" s="13">
        <f>Business_Table[[#This Row],[Profit]]/Business_Table[[#This Row],[Sales_Amount]]</f>
        <v>0.33369091039118931</v>
      </c>
    </row>
    <row r="103" spans="1:14" x14ac:dyDescent="0.3">
      <c r="A103" s="10" t="s">
        <v>113</v>
      </c>
      <c r="B103" s="11">
        <v>45369</v>
      </c>
      <c r="C103" s="12" t="s">
        <v>193</v>
      </c>
      <c r="D103" s="12" t="s">
        <v>199</v>
      </c>
      <c r="E103" s="12" t="s">
        <v>209</v>
      </c>
      <c r="F103" s="12" t="s">
        <v>210</v>
      </c>
      <c r="G103" s="12" t="s">
        <v>214</v>
      </c>
      <c r="H103" s="12" t="s">
        <v>221</v>
      </c>
      <c r="I103" s="12">
        <v>7</v>
      </c>
      <c r="J103" s="12">
        <v>12110</v>
      </c>
      <c r="K103" s="12">
        <v>7417</v>
      </c>
      <c r="L103" s="12" t="s">
        <v>224</v>
      </c>
      <c r="M103" s="12">
        <f>Business_Table[[#This Row],[Sales_Amount]]-Business_Table[[#This Row],[Cost_Amount]]</f>
        <v>4693</v>
      </c>
      <c r="N103" s="13">
        <f>Business_Table[[#This Row],[Profit]]/Business_Table[[#This Row],[Sales_Amount]]</f>
        <v>0.38753096614368293</v>
      </c>
    </row>
    <row r="104" spans="1:14" x14ac:dyDescent="0.3">
      <c r="A104" s="10" t="s">
        <v>114</v>
      </c>
      <c r="B104" s="11">
        <v>45471</v>
      </c>
      <c r="C104" s="12" t="s">
        <v>194</v>
      </c>
      <c r="D104" s="12" t="s">
        <v>204</v>
      </c>
      <c r="E104" s="12" t="s">
        <v>208</v>
      </c>
      <c r="F104" s="12" t="s">
        <v>210</v>
      </c>
      <c r="G104" s="12" t="s">
        <v>213</v>
      </c>
      <c r="H104" s="12" t="s">
        <v>220</v>
      </c>
      <c r="I104" s="12">
        <v>6</v>
      </c>
      <c r="J104" s="12">
        <v>10217</v>
      </c>
      <c r="K104" s="12">
        <v>6375</v>
      </c>
      <c r="L104" s="12" t="s">
        <v>228</v>
      </c>
      <c r="M104" s="12">
        <f>Business_Table[[#This Row],[Sales_Amount]]-Business_Table[[#This Row],[Cost_Amount]]</f>
        <v>3842</v>
      </c>
      <c r="N104" s="13">
        <f>Business_Table[[#This Row],[Profit]]/Business_Table[[#This Row],[Sales_Amount]]</f>
        <v>0.37603993344425957</v>
      </c>
    </row>
    <row r="105" spans="1:14" x14ac:dyDescent="0.3">
      <c r="A105" s="10" t="s">
        <v>115</v>
      </c>
      <c r="B105" s="11">
        <v>45365</v>
      </c>
      <c r="C105" s="12" t="s">
        <v>192</v>
      </c>
      <c r="D105" s="12" t="s">
        <v>197</v>
      </c>
      <c r="E105" s="12" t="s">
        <v>209</v>
      </c>
      <c r="F105" s="12" t="s">
        <v>211</v>
      </c>
      <c r="G105" s="12" t="s">
        <v>214</v>
      </c>
      <c r="H105" s="12" t="s">
        <v>218</v>
      </c>
      <c r="I105" s="12">
        <v>1</v>
      </c>
      <c r="J105" s="12">
        <v>10735</v>
      </c>
      <c r="K105" s="12">
        <v>7904</v>
      </c>
      <c r="L105" s="12" t="s">
        <v>226</v>
      </c>
      <c r="M105" s="12">
        <f>Business_Table[[#This Row],[Sales_Amount]]-Business_Table[[#This Row],[Cost_Amount]]</f>
        <v>2831</v>
      </c>
      <c r="N105" s="13">
        <f>Business_Table[[#This Row],[Profit]]/Business_Table[[#This Row],[Sales_Amount]]</f>
        <v>0.26371681415929205</v>
      </c>
    </row>
    <row r="106" spans="1:14" x14ac:dyDescent="0.3">
      <c r="A106" s="10" t="s">
        <v>116</v>
      </c>
      <c r="B106" s="11">
        <v>45452</v>
      </c>
      <c r="C106" s="12" t="s">
        <v>193</v>
      </c>
      <c r="D106" s="12" t="s">
        <v>201</v>
      </c>
      <c r="E106" s="12" t="s">
        <v>208</v>
      </c>
      <c r="F106" s="12" t="s">
        <v>210</v>
      </c>
      <c r="G106" s="12" t="s">
        <v>214</v>
      </c>
      <c r="H106" s="12" t="s">
        <v>218</v>
      </c>
      <c r="I106" s="12">
        <v>3</v>
      </c>
      <c r="J106" s="12">
        <v>11093</v>
      </c>
      <c r="K106" s="12">
        <v>6370</v>
      </c>
      <c r="L106" s="12" t="s">
        <v>225</v>
      </c>
      <c r="M106" s="12">
        <f>Business_Table[[#This Row],[Sales_Amount]]-Business_Table[[#This Row],[Cost_Amount]]</f>
        <v>4723</v>
      </c>
      <c r="N106" s="13">
        <f>Business_Table[[#This Row],[Profit]]/Business_Table[[#This Row],[Sales_Amount]]</f>
        <v>0.42576399531235914</v>
      </c>
    </row>
    <row r="107" spans="1:14" x14ac:dyDescent="0.3">
      <c r="A107" s="10" t="s">
        <v>117</v>
      </c>
      <c r="B107" s="11">
        <v>45375</v>
      </c>
      <c r="C107" s="12" t="s">
        <v>192</v>
      </c>
      <c r="D107" s="12" t="s">
        <v>196</v>
      </c>
      <c r="E107" s="12" t="s">
        <v>209</v>
      </c>
      <c r="F107" s="12" t="s">
        <v>211</v>
      </c>
      <c r="G107" s="12" t="s">
        <v>214</v>
      </c>
      <c r="H107" s="12" t="s">
        <v>221</v>
      </c>
      <c r="I107" s="12">
        <v>3</v>
      </c>
      <c r="J107" s="12">
        <v>2276</v>
      </c>
      <c r="K107" s="12">
        <v>1769</v>
      </c>
      <c r="L107" s="12" t="s">
        <v>226</v>
      </c>
      <c r="M107" s="12">
        <f>Business_Table[[#This Row],[Sales_Amount]]-Business_Table[[#This Row],[Cost_Amount]]</f>
        <v>507</v>
      </c>
      <c r="N107" s="13">
        <f>Business_Table[[#This Row],[Profit]]/Business_Table[[#This Row],[Sales_Amount]]</f>
        <v>0.22275922671353252</v>
      </c>
    </row>
    <row r="108" spans="1:14" x14ac:dyDescent="0.3">
      <c r="A108" s="10" t="s">
        <v>118</v>
      </c>
      <c r="B108" s="11">
        <v>45334</v>
      </c>
      <c r="C108" s="12" t="s">
        <v>194</v>
      </c>
      <c r="D108" s="12" t="s">
        <v>204</v>
      </c>
      <c r="E108" s="12" t="s">
        <v>209</v>
      </c>
      <c r="F108" s="12" t="s">
        <v>210</v>
      </c>
      <c r="G108" s="12" t="s">
        <v>214</v>
      </c>
      <c r="H108" s="12" t="s">
        <v>221</v>
      </c>
      <c r="I108" s="12">
        <v>9</v>
      </c>
      <c r="J108" s="12">
        <v>9021</v>
      </c>
      <c r="K108" s="12">
        <v>7021</v>
      </c>
      <c r="L108" s="12" t="s">
        <v>228</v>
      </c>
      <c r="M108" s="12">
        <f>Business_Table[[#This Row],[Sales_Amount]]-Business_Table[[#This Row],[Cost_Amount]]</f>
        <v>2000</v>
      </c>
      <c r="N108" s="13">
        <f>Business_Table[[#This Row],[Profit]]/Business_Table[[#This Row],[Sales_Amount]]</f>
        <v>0.22170491076377341</v>
      </c>
    </row>
    <row r="109" spans="1:14" x14ac:dyDescent="0.3">
      <c r="A109" s="10" t="s">
        <v>119</v>
      </c>
      <c r="B109" s="11">
        <v>45465</v>
      </c>
      <c r="C109" s="12" t="s">
        <v>192</v>
      </c>
      <c r="D109" s="12" t="s">
        <v>196</v>
      </c>
      <c r="E109" s="12" t="s">
        <v>209</v>
      </c>
      <c r="F109" s="12" t="s">
        <v>210</v>
      </c>
      <c r="G109" s="12" t="s">
        <v>213</v>
      </c>
      <c r="H109" s="12" t="s">
        <v>222</v>
      </c>
      <c r="I109" s="12">
        <v>3</v>
      </c>
      <c r="J109" s="12">
        <v>13156</v>
      </c>
      <c r="K109" s="12">
        <v>10414</v>
      </c>
      <c r="L109" s="12" t="s">
        <v>224</v>
      </c>
      <c r="M109" s="12">
        <f>Business_Table[[#This Row],[Sales_Amount]]-Business_Table[[#This Row],[Cost_Amount]]</f>
        <v>2742</v>
      </c>
      <c r="N109" s="13">
        <f>Business_Table[[#This Row],[Profit]]/Business_Table[[#This Row],[Sales_Amount]]</f>
        <v>0.20842201276983885</v>
      </c>
    </row>
    <row r="110" spans="1:14" x14ac:dyDescent="0.3">
      <c r="A110" s="10" t="s">
        <v>120</v>
      </c>
      <c r="B110" s="11">
        <v>45464</v>
      </c>
      <c r="C110" s="12" t="s">
        <v>195</v>
      </c>
      <c r="D110" s="12" t="s">
        <v>205</v>
      </c>
      <c r="E110" s="12" t="s">
        <v>209</v>
      </c>
      <c r="F110" s="12" t="s">
        <v>210</v>
      </c>
      <c r="G110" s="12" t="s">
        <v>212</v>
      </c>
      <c r="H110" s="12" t="s">
        <v>219</v>
      </c>
      <c r="I110" s="12">
        <v>9</v>
      </c>
      <c r="J110" s="12">
        <v>2824</v>
      </c>
      <c r="K110" s="12">
        <v>1874</v>
      </c>
      <c r="L110" s="12" t="s">
        <v>228</v>
      </c>
      <c r="M110" s="12">
        <f>Business_Table[[#This Row],[Sales_Amount]]-Business_Table[[#This Row],[Cost_Amount]]</f>
        <v>950</v>
      </c>
      <c r="N110" s="13">
        <f>Business_Table[[#This Row],[Profit]]/Business_Table[[#This Row],[Sales_Amount]]</f>
        <v>0.33640226628895187</v>
      </c>
    </row>
    <row r="111" spans="1:14" x14ac:dyDescent="0.3">
      <c r="A111" s="10" t="s">
        <v>121</v>
      </c>
      <c r="B111" s="11">
        <v>45435</v>
      </c>
      <c r="C111" s="12" t="s">
        <v>192</v>
      </c>
      <c r="D111" s="12" t="s">
        <v>207</v>
      </c>
      <c r="E111" s="12" t="s">
        <v>208</v>
      </c>
      <c r="F111" s="12" t="s">
        <v>211</v>
      </c>
      <c r="G111" s="12" t="s">
        <v>214</v>
      </c>
      <c r="H111" s="12" t="s">
        <v>223</v>
      </c>
      <c r="I111" s="12">
        <v>8</v>
      </c>
      <c r="J111" s="12">
        <v>1210</v>
      </c>
      <c r="K111" s="12">
        <v>852</v>
      </c>
      <c r="L111" s="12" t="s">
        <v>225</v>
      </c>
      <c r="M111" s="12">
        <f>Business_Table[[#This Row],[Sales_Amount]]-Business_Table[[#This Row],[Cost_Amount]]</f>
        <v>358</v>
      </c>
      <c r="N111" s="13">
        <f>Business_Table[[#This Row],[Profit]]/Business_Table[[#This Row],[Sales_Amount]]</f>
        <v>0.29586776859504132</v>
      </c>
    </row>
    <row r="112" spans="1:14" x14ac:dyDescent="0.3">
      <c r="A112" s="10" t="s">
        <v>122</v>
      </c>
      <c r="B112" s="11">
        <v>45301</v>
      </c>
      <c r="C112" s="12" t="s">
        <v>193</v>
      </c>
      <c r="D112" s="12" t="s">
        <v>198</v>
      </c>
      <c r="E112" s="12" t="s">
        <v>209</v>
      </c>
      <c r="F112" s="12" t="s">
        <v>211</v>
      </c>
      <c r="G112" s="12" t="s">
        <v>214</v>
      </c>
      <c r="H112" s="12" t="s">
        <v>221</v>
      </c>
      <c r="I112" s="12">
        <v>2</v>
      </c>
      <c r="J112" s="12">
        <v>3090</v>
      </c>
      <c r="K112" s="12">
        <v>1734</v>
      </c>
      <c r="L112" s="12" t="s">
        <v>224</v>
      </c>
      <c r="M112" s="12">
        <f>Business_Table[[#This Row],[Sales_Amount]]-Business_Table[[#This Row],[Cost_Amount]]</f>
        <v>1356</v>
      </c>
      <c r="N112" s="13">
        <f>Business_Table[[#This Row],[Profit]]/Business_Table[[#This Row],[Sales_Amount]]</f>
        <v>0.43883495145631068</v>
      </c>
    </row>
    <row r="113" spans="1:14" x14ac:dyDescent="0.3">
      <c r="A113" s="10" t="s">
        <v>123</v>
      </c>
      <c r="B113" s="11">
        <v>45470</v>
      </c>
      <c r="C113" s="12" t="s">
        <v>194</v>
      </c>
      <c r="D113" s="12" t="s">
        <v>203</v>
      </c>
      <c r="E113" s="12" t="s">
        <v>209</v>
      </c>
      <c r="F113" s="12" t="s">
        <v>211</v>
      </c>
      <c r="G113" s="12" t="s">
        <v>214</v>
      </c>
      <c r="H113" s="12" t="s">
        <v>223</v>
      </c>
      <c r="I113" s="12">
        <v>7</v>
      </c>
      <c r="J113" s="12">
        <v>8232</v>
      </c>
      <c r="K113" s="12">
        <v>5291</v>
      </c>
      <c r="L113" s="12" t="s">
        <v>225</v>
      </c>
      <c r="M113" s="12">
        <f>Business_Table[[#This Row],[Sales_Amount]]-Business_Table[[#This Row],[Cost_Amount]]</f>
        <v>2941</v>
      </c>
      <c r="N113" s="13">
        <f>Business_Table[[#This Row],[Profit]]/Business_Table[[#This Row],[Sales_Amount]]</f>
        <v>0.35726433430515064</v>
      </c>
    </row>
    <row r="114" spans="1:14" x14ac:dyDescent="0.3">
      <c r="A114" s="10" t="s">
        <v>124</v>
      </c>
      <c r="B114" s="11">
        <v>45386</v>
      </c>
      <c r="C114" s="12" t="s">
        <v>192</v>
      </c>
      <c r="D114" s="12" t="s">
        <v>197</v>
      </c>
      <c r="E114" s="12" t="s">
        <v>209</v>
      </c>
      <c r="F114" s="12" t="s">
        <v>210</v>
      </c>
      <c r="G114" s="12" t="s">
        <v>213</v>
      </c>
      <c r="H114" s="12" t="s">
        <v>220</v>
      </c>
      <c r="I114" s="12">
        <v>7</v>
      </c>
      <c r="J114" s="12">
        <v>5383</v>
      </c>
      <c r="K114" s="12">
        <v>3004</v>
      </c>
      <c r="L114" s="12" t="s">
        <v>226</v>
      </c>
      <c r="M114" s="12">
        <f>Business_Table[[#This Row],[Sales_Amount]]-Business_Table[[#This Row],[Cost_Amount]]</f>
        <v>2379</v>
      </c>
      <c r="N114" s="13">
        <f>Business_Table[[#This Row],[Profit]]/Business_Table[[#This Row],[Sales_Amount]]</f>
        <v>0.4419468697752183</v>
      </c>
    </row>
    <row r="115" spans="1:14" x14ac:dyDescent="0.3">
      <c r="A115" s="10" t="s">
        <v>125</v>
      </c>
      <c r="B115" s="11">
        <v>45457</v>
      </c>
      <c r="C115" s="12" t="s">
        <v>193</v>
      </c>
      <c r="D115" s="12" t="s">
        <v>198</v>
      </c>
      <c r="E115" s="12" t="s">
        <v>208</v>
      </c>
      <c r="F115" s="12" t="s">
        <v>210</v>
      </c>
      <c r="G115" s="12" t="s">
        <v>212</v>
      </c>
      <c r="H115" s="12" t="s">
        <v>215</v>
      </c>
      <c r="I115" s="12">
        <v>6</v>
      </c>
      <c r="J115" s="12">
        <v>9720</v>
      </c>
      <c r="K115" s="12">
        <v>7537</v>
      </c>
      <c r="L115" s="12" t="s">
        <v>228</v>
      </c>
      <c r="M115" s="12">
        <f>Business_Table[[#This Row],[Sales_Amount]]-Business_Table[[#This Row],[Cost_Amount]]</f>
        <v>2183</v>
      </c>
      <c r="N115" s="13">
        <f>Business_Table[[#This Row],[Profit]]/Business_Table[[#This Row],[Sales_Amount]]</f>
        <v>0.22458847736625515</v>
      </c>
    </row>
    <row r="116" spans="1:14" x14ac:dyDescent="0.3">
      <c r="A116" s="10" t="s">
        <v>126</v>
      </c>
      <c r="B116" s="11">
        <v>45455</v>
      </c>
      <c r="C116" s="12" t="s">
        <v>194</v>
      </c>
      <c r="D116" s="12" t="s">
        <v>203</v>
      </c>
      <c r="E116" s="12" t="s">
        <v>208</v>
      </c>
      <c r="F116" s="12" t="s">
        <v>211</v>
      </c>
      <c r="G116" s="12" t="s">
        <v>212</v>
      </c>
      <c r="H116" s="12" t="s">
        <v>219</v>
      </c>
      <c r="I116" s="12">
        <v>2</v>
      </c>
      <c r="J116" s="12">
        <v>11658</v>
      </c>
      <c r="K116" s="12">
        <v>7030</v>
      </c>
      <c r="L116" s="12" t="s">
        <v>228</v>
      </c>
      <c r="M116" s="12">
        <f>Business_Table[[#This Row],[Sales_Amount]]-Business_Table[[#This Row],[Cost_Amount]]</f>
        <v>4628</v>
      </c>
      <c r="N116" s="13">
        <f>Business_Table[[#This Row],[Profit]]/Business_Table[[#This Row],[Sales_Amount]]</f>
        <v>0.39698061417052666</v>
      </c>
    </row>
    <row r="117" spans="1:14" x14ac:dyDescent="0.3">
      <c r="A117" s="10" t="s">
        <v>127</v>
      </c>
      <c r="B117" s="11">
        <v>45433</v>
      </c>
      <c r="C117" s="12" t="s">
        <v>194</v>
      </c>
      <c r="D117" s="12" t="s">
        <v>200</v>
      </c>
      <c r="E117" s="12" t="s">
        <v>208</v>
      </c>
      <c r="F117" s="12" t="s">
        <v>211</v>
      </c>
      <c r="G117" s="12" t="s">
        <v>212</v>
      </c>
      <c r="H117" s="12" t="s">
        <v>215</v>
      </c>
      <c r="I117" s="12">
        <v>4</v>
      </c>
      <c r="J117" s="12">
        <v>1924</v>
      </c>
      <c r="K117" s="12">
        <v>1457</v>
      </c>
      <c r="L117" s="12" t="s">
        <v>228</v>
      </c>
      <c r="M117" s="12">
        <f>Business_Table[[#This Row],[Sales_Amount]]-Business_Table[[#This Row],[Cost_Amount]]</f>
        <v>467</v>
      </c>
      <c r="N117" s="13">
        <f>Business_Table[[#This Row],[Profit]]/Business_Table[[#This Row],[Sales_Amount]]</f>
        <v>0.24272349272349272</v>
      </c>
    </row>
    <row r="118" spans="1:14" x14ac:dyDescent="0.3">
      <c r="A118" s="10" t="s">
        <v>128</v>
      </c>
      <c r="B118" s="11">
        <v>45325</v>
      </c>
      <c r="C118" s="12" t="s">
        <v>194</v>
      </c>
      <c r="D118" s="12" t="s">
        <v>203</v>
      </c>
      <c r="E118" s="12" t="s">
        <v>209</v>
      </c>
      <c r="F118" s="12" t="s">
        <v>211</v>
      </c>
      <c r="G118" s="12" t="s">
        <v>214</v>
      </c>
      <c r="H118" s="12" t="s">
        <v>223</v>
      </c>
      <c r="I118" s="12">
        <v>5</v>
      </c>
      <c r="J118" s="12">
        <v>14864</v>
      </c>
      <c r="K118" s="12">
        <v>11831</v>
      </c>
      <c r="L118" s="12" t="s">
        <v>224</v>
      </c>
      <c r="M118" s="12">
        <f>Business_Table[[#This Row],[Sales_Amount]]-Business_Table[[#This Row],[Cost_Amount]]</f>
        <v>3033</v>
      </c>
      <c r="N118" s="13">
        <f>Business_Table[[#This Row],[Profit]]/Business_Table[[#This Row],[Sales_Amount]]</f>
        <v>0.20405005382131325</v>
      </c>
    </row>
    <row r="119" spans="1:14" x14ac:dyDescent="0.3">
      <c r="A119" s="10" t="s">
        <v>129</v>
      </c>
      <c r="B119" s="11">
        <v>45442</v>
      </c>
      <c r="C119" s="12" t="s">
        <v>192</v>
      </c>
      <c r="D119" s="12" t="s">
        <v>207</v>
      </c>
      <c r="E119" s="12" t="s">
        <v>208</v>
      </c>
      <c r="F119" s="12" t="s">
        <v>211</v>
      </c>
      <c r="G119" s="12" t="s">
        <v>212</v>
      </c>
      <c r="H119" s="12" t="s">
        <v>216</v>
      </c>
      <c r="I119" s="12">
        <v>6</v>
      </c>
      <c r="J119" s="12">
        <v>13743</v>
      </c>
      <c r="K119" s="12">
        <v>10267</v>
      </c>
      <c r="L119" s="12" t="s">
        <v>228</v>
      </c>
      <c r="M119" s="12">
        <f>Business_Table[[#This Row],[Sales_Amount]]-Business_Table[[#This Row],[Cost_Amount]]</f>
        <v>3476</v>
      </c>
      <c r="N119" s="13">
        <f>Business_Table[[#This Row],[Profit]]/Business_Table[[#This Row],[Sales_Amount]]</f>
        <v>0.25292876373426471</v>
      </c>
    </row>
    <row r="120" spans="1:14" x14ac:dyDescent="0.3">
      <c r="A120" s="10" t="s">
        <v>130</v>
      </c>
      <c r="B120" s="11">
        <v>45308</v>
      </c>
      <c r="C120" s="12" t="s">
        <v>192</v>
      </c>
      <c r="D120" s="12" t="s">
        <v>207</v>
      </c>
      <c r="E120" s="12" t="s">
        <v>209</v>
      </c>
      <c r="F120" s="12" t="s">
        <v>210</v>
      </c>
      <c r="G120" s="12" t="s">
        <v>212</v>
      </c>
      <c r="H120" s="12" t="s">
        <v>215</v>
      </c>
      <c r="I120" s="12">
        <v>7</v>
      </c>
      <c r="J120" s="12">
        <v>9419</v>
      </c>
      <c r="K120" s="12">
        <v>5448</v>
      </c>
      <c r="L120" s="12" t="s">
        <v>227</v>
      </c>
      <c r="M120" s="12">
        <f>Business_Table[[#This Row],[Sales_Amount]]-Business_Table[[#This Row],[Cost_Amount]]</f>
        <v>3971</v>
      </c>
      <c r="N120" s="13">
        <f>Business_Table[[#This Row],[Profit]]/Business_Table[[#This Row],[Sales_Amount]]</f>
        <v>0.42159464911349398</v>
      </c>
    </row>
    <row r="121" spans="1:14" x14ac:dyDescent="0.3">
      <c r="A121" s="10" t="s">
        <v>131</v>
      </c>
      <c r="B121" s="11">
        <v>45460</v>
      </c>
      <c r="C121" s="12" t="s">
        <v>192</v>
      </c>
      <c r="D121" s="12" t="s">
        <v>196</v>
      </c>
      <c r="E121" s="12" t="s">
        <v>209</v>
      </c>
      <c r="F121" s="12" t="s">
        <v>210</v>
      </c>
      <c r="G121" s="12" t="s">
        <v>213</v>
      </c>
      <c r="H121" s="12" t="s">
        <v>220</v>
      </c>
      <c r="I121" s="12">
        <v>4</v>
      </c>
      <c r="J121" s="12">
        <v>10877</v>
      </c>
      <c r="K121" s="12">
        <v>6100</v>
      </c>
      <c r="L121" s="12" t="s">
        <v>224</v>
      </c>
      <c r="M121" s="12">
        <f>Business_Table[[#This Row],[Sales_Amount]]-Business_Table[[#This Row],[Cost_Amount]]</f>
        <v>4777</v>
      </c>
      <c r="N121" s="13">
        <f>Business_Table[[#This Row],[Profit]]/Business_Table[[#This Row],[Sales_Amount]]</f>
        <v>0.4391835984186816</v>
      </c>
    </row>
    <row r="122" spans="1:14" x14ac:dyDescent="0.3">
      <c r="A122" s="10" t="s">
        <v>132</v>
      </c>
      <c r="B122" s="11">
        <v>45405</v>
      </c>
      <c r="C122" s="12" t="s">
        <v>192</v>
      </c>
      <c r="D122" s="12" t="s">
        <v>197</v>
      </c>
      <c r="E122" s="12" t="s">
        <v>208</v>
      </c>
      <c r="F122" s="12" t="s">
        <v>210</v>
      </c>
      <c r="G122" s="12" t="s">
        <v>213</v>
      </c>
      <c r="H122" s="12" t="s">
        <v>217</v>
      </c>
      <c r="I122" s="12">
        <v>7</v>
      </c>
      <c r="J122" s="12">
        <v>12041</v>
      </c>
      <c r="K122" s="12">
        <v>6947</v>
      </c>
      <c r="L122" s="12" t="s">
        <v>227</v>
      </c>
      <c r="M122" s="12">
        <f>Business_Table[[#This Row],[Sales_Amount]]-Business_Table[[#This Row],[Cost_Amount]]</f>
        <v>5094</v>
      </c>
      <c r="N122" s="13">
        <f>Business_Table[[#This Row],[Profit]]/Business_Table[[#This Row],[Sales_Amount]]</f>
        <v>0.42305456357445392</v>
      </c>
    </row>
    <row r="123" spans="1:14" x14ac:dyDescent="0.3">
      <c r="A123" s="10" t="s">
        <v>133</v>
      </c>
      <c r="B123" s="11">
        <v>45432</v>
      </c>
      <c r="C123" s="12" t="s">
        <v>194</v>
      </c>
      <c r="D123" s="12" t="s">
        <v>203</v>
      </c>
      <c r="E123" s="12" t="s">
        <v>209</v>
      </c>
      <c r="F123" s="12" t="s">
        <v>210</v>
      </c>
      <c r="G123" s="12" t="s">
        <v>212</v>
      </c>
      <c r="H123" s="12" t="s">
        <v>216</v>
      </c>
      <c r="I123" s="12">
        <v>5</v>
      </c>
      <c r="J123" s="12">
        <v>11028</v>
      </c>
      <c r="K123" s="12">
        <v>7810</v>
      </c>
      <c r="L123" s="12" t="s">
        <v>227</v>
      </c>
      <c r="M123" s="12">
        <f>Business_Table[[#This Row],[Sales_Amount]]-Business_Table[[#This Row],[Cost_Amount]]</f>
        <v>3218</v>
      </c>
      <c r="N123" s="13">
        <f>Business_Table[[#This Row],[Profit]]/Business_Table[[#This Row],[Sales_Amount]]</f>
        <v>0.29180268407689519</v>
      </c>
    </row>
    <row r="124" spans="1:14" x14ac:dyDescent="0.3">
      <c r="A124" s="10" t="s">
        <v>134</v>
      </c>
      <c r="B124" s="11">
        <v>45471</v>
      </c>
      <c r="C124" s="12" t="s">
        <v>193</v>
      </c>
      <c r="D124" s="12" t="s">
        <v>199</v>
      </c>
      <c r="E124" s="12" t="s">
        <v>208</v>
      </c>
      <c r="F124" s="12" t="s">
        <v>210</v>
      </c>
      <c r="G124" s="12" t="s">
        <v>213</v>
      </c>
      <c r="H124" s="12" t="s">
        <v>220</v>
      </c>
      <c r="I124" s="12">
        <v>10</v>
      </c>
      <c r="J124" s="12">
        <v>7848</v>
      </c>
      <c r="K124" s="12">
        <v>4510</v>
      </c>
      <c r="L124" s="12" t="s">
        <v>225</v>
      </c>
      <c r="M124" s="12">
        <f>Business_Table[[#This Row],[Sales_Amount]]-Business_Table[[#This Row],[Cost_Amount]]</f>
        <v>3338</v>
      </c>
      <c r="N124" s="13">
        <f>Business_Table[[#This Row],[Profit]]/Business_Table[[#This Row],[Sales_Amount]]</f>
        <v>0.42533129459734964</v>
      </c>
    </row>
    <row r="125" spans="1:14" x14ac:dyDescent="0.3">
      <c r="A125" s="10" t="s">
        <v>135</v>
      </c>
      <c r="B125" s="11">
        <v>45316</v>
      </c>
      <c r="C125" s="12" t="s">
        <v>194</v>
      </c>
      <c r="D125" s="12" t="s">
        <v>204</v>
      </c>
      <c r="E125" s="12" t="s">
        <v>209</v>
      </c>
      <c r="F125" s="12" t="s">
        <v>210</v>
      </c>
      <c r="G125" s="12" t="s">
        <v>213</v>
      </c>
      <c r="H125" s="12" t="s">
        <v>217</v>
      </c>
      <c r="I125" s="12">
        <v>8</v>
      </c>
      <c r="J125" s="12">
        <v>7332</v>
      </c>
      <c r="K125" s="12">
        <v>4795</v>
      </c>
      <c r="L125" s="12" t="s">
        <v>228</v>
      </c>
      <c r="M125" s="12">
        <f>Business_Table[[#This Row],[Sales_Amount]]-Business_Table[[#This Row],[Cost_Amount]]</f>
        <v>2537</v>
      </c>
      <c r="N125" s="13">
        <f>Business_Table[[#This Row],[Profit]]/Business_Table[[#This Row],[Sales_Amount]]</f>
        <v>0.34601745771958536</v>
      </c>
    </row>
    <row r="126" spans="1:14" x14ac:dyDescent="0.3">
      <c r="A126" s="10" t="s">
        <v>136</v>
      </c>
      <c r="B126" s="11">
        <v>45313</v>
      </c>
      <c r="C126" s="12" t="s">
        <v>193</v>
      </c>
      <c r="D126" s="12" t="s">
        <v>199</v>
      </c>
      <c r="E126" s="12" t="s">
        <v>209</v>
      </c>
      <c r="F126" s="12" t="s">
        <v>211</v>
      </c>
      <c r="G126" s="12" t="s">
        <v>212</v>
      </c>
      <c r="H126" s="12" t="s">
        <v>215</v>
      </c>
      <c r="I126" s="12">
        <v>8</v>
      </c>
      <c r="J126" s="12">
        <v>1899</v>
      </c>
      <c r="K126" s="12">
        <v>1087</v>
      </c>
      <c r="L126" s="12" t="s">
        <v>228</v>
      </c>
      <c r="M126" s="12">
        <f>Business_Table[[#This Row],[Sales_Amount]]-Business_Table[[#This Row],[Cost_Amount]]</f>
        <v>812</v>
      </c>
      <c r="N126" s="13">
        <f>Business_Table[[#This Row],[Profit]]/Business_Table[[#This Row],[Sales_Amount]]</f>
        <v>0.42759347024749866</v>
      </c>
    </row>
    <row r="127" spans="1:14" x14ac:dyDescent="0.3">
      <c r="A127" s="10" t="s">
        <v>137</v>
      </c>
      <c r="B127" s="11">
        <v>45463</v>
      </c>
      <c r="C127" s="12" t="s">
        <v>194</v>
      </c>
      <c r="D127" s="12" t="s">
        <v>200</v>
      </c>
      <c r="E127" s="12" t="s">
        <v>209</v>
      </c>
      <c r="F127" s="12" t="s">
        <v>210</v>
      </c>
      <c r="G127" s="12" t="s">
        <v>214</v>
      </c>
      <c r="H127" s="12" t="s">
        <v>223</v>
      </c>
      <c r="I127" s="12">
        <v>10</v>
      </c>
      <c r="J127" s="12">
        <v>10001</v>
      </c>
      <c r="K127" s="12">
        <v>6904</v>
      </c>
      <c r="L127" s="12" t="s">
        <v>225</v>
      </c>
      <c r="M127" s="12">
        <f>Business_Table[[#This Row],[Sales_Amount]]-Business_Table[[#This Row],[Cost_Amount]]</f>
        <v>3097</v>
      </c>
      <c r="N127" s="13">
        <f>Business_Table[[#This Row],[Profit]]/Business_Table[[#This Row],[Sales_Amount]]</f>
        <v>0.3096690330966903</v>
      </c>
    </row>
    <row r="128" spans="1:14" x14ac:dyDescent="0.3">
      <c r="A128" s="10" t="s">
        <v>138</v>
      </c>
      <c r="B128" s="11">
        <v>45421</v>
      </c>
      <c r="C128" s="12" t="s">
        <v>192</v>
      </c>
      <c r="D128" s="12" t="s">
        <v>197</v>
      </c>
      <c r="E128" s="12" t="s">
        <v>208</v>
      </c>
      <c r="F128" s="12" t="s">
        <v>210</v>
      </c>
      <c r="G128" s="12" t="s">
        <v>213</v>
      </c>
      <c r="H128" s="12" t="s">
        <v>220</v>
      </c>
      <c r="I128" s="12">
        <v>5</v>
      </c>
      <c r="J128" s="12">
        <v>6561</v>
      </c>
      <c r="K128" s="12">
        <v>3778</v>
      </c>
      <c r="L128" s="12" t="s">
        <v>226</v>
      </c>
      <c r="M128" s="12">
        <f>Business_Table[[#This Row],[Sales_Amount]]-Business_Table[[#This Row],[Cost_Amount]]</f>
        <v>2783</v>
      </c>
      <c r="N128" s="13">
        <f>Business_Table[[#This Row],[Profit]]/Business_Table[[#This Row],[Sales_Amount]]</f>
        <v>0.42417314433775338</v>
      </c>
    </row>
    <row r="129" spans="1:14" x14ac:dyDescent="0.3">
      <c r="A129" s="10" t="s">
        <v>139</v>
      </c>
      <c r="B129" s="11">
        <v>45438</v>
      </c>
      <c r="C129" s="12" t="s">
        <v>192</v>
      </c>
      <c r="D129" s="12" t="s">
        <v>197</v>
      </c>
      <c r="E129" s="12" t="s">
        <v>209</v>
      </c>
      <c r="F129" s="12" t="s">
        <v>211</v>
      </c>
      <c r="G129" s="12" t="s">
        <v>213</v>
      </c>
      <c r="H129" s="12" t="s">
        <v>220</v>
      </c>
      <c r="I129" s="12">
        <v>6</v>
      </c>
      <c r="J129" s="12">
        <v>2682</v>
      </c>
      <c r="K129" s="12">
        <v>1986</v>
      </c>
      <c r="L129" s="12" t="s">
        <v>227</v>
      </c>
      <c r="M129" s="12">
        <f>Business_Table[[#This Row],[Sales_Amount]]-Business_Table[[#This Row],[Cost_Amount]]</f>
        <v>696</v>
      </c>
      <c r="N129" s="13">
        <f>Business_Table[[#This Row],[Profit]]/Business_Table[[#This Row],[Sales_Amount]]</f>
        <v>0.25950782997762861</v>
      </c>
    </row>
    <row r="130" spans="1:14" x14ac:dyDescent="0.3">
      <c r="A130" s="10" t="s">
        <v>140</v>
      </c>
      <c r="B130" s="11">
        <v>45378</v>
      </c>
      <c r="C130" s="12" t="s">
        <v>193</v>
      </c>
      <c r="D130" s="12" t="s">
        <v>198</v>
      </c>
      <c r="E130" s="12" t="s">
        <v>208</v>
      </c>
      <c r="F130" s="12" t="s">
        <v>211</v>
      </c>
      <c r="G130" s="12" t="s">
        <v>212</v>
      </c>
      <c r="H130" s="12" t="s">
        <v>216</v>
      </c>
      <c r="I130" s="12">
        <v>5</v>
      </c>
      <c r="J130" s="12">
        <v>12313</v>
      </c>
      <c r="K130" s="12">
        <v>9119</v>
      </c>
      <c r="L130" s="12" t="s">
        <v>226</v>
      </c>
      <c r="M130" s="12">
        <f>Business_Table[[#This Row],[Sales_Amount]]-Business_Table[[#This Row],[Cost_Amount]]</f>
        <v>3194</v>
      </c>
      <c r="N130" s="13">
        <f>Business_Table[[#This Row],[Profit]]/Business_Table[[#This Row],[Sales_Amount]]</f>
        <v>0.25940063347681314</v>
      </c>
    </row>
    <row r="131" spans="1:14" x14ac:dyDescent="0.3">
      <c r="A131" s="10" t="s">
        <v>141</v>
      </c>
      <c r="B131" s="11">
        <v>45347</v>
      </c>
      <c r="C131" s="12" t="s">
        <v>195</v>
      </c>
      <c r="D131" s="12" t="s">
        <v>206</v>
      </c>
      <c r="E131" s="12" t="s">
        <v>209</v>
      </c>
      <c r="F131" s="12" t="s">
        <v>210</v>
      </c>
      <c r="G131" s="12" t="s">
        <v>212</v>
      </c>
      <c r="H131" s="12" t="s">
        <v>216</v>
      </c>
      <c r="I131" s="12">
        <v>1</v>
      </c>
      <c r="J131" s="12">
        <v>2303</v>
      </c>
      <c r="K131" s="12">
        <v>1696</v>
      </c>
      <c r="L131" s="12" t="s">
        <v>228</v>
      </c>
      <c r="M131" s="12">
        <f>Business_Table[[#This Row],[Sales_Amount]]-Business_Table[[#This Row],[Cost_Amount]]</f>
        <v>607</v>
      </c>
      <c r="N131" s="13">
        <f>Business_Table[[#This Row],[Profit]]/Business_Table[[#This Row],[Sales_Amount]]</f>
        <v>0.26356925749023014</v>
      </c>
    </row>
    <row r="132" spans="1:14" x14ac:dyDescent="0.3">
      <c r="A132" s="10" t="s">
        <v>142</v>
      </c>
      <c r="B132" s="11">
        <v>45444</v>
      </c>
      <c r="C132" s="12" t="s">
        <v>194</v>
      </c>
      <c r="D132" s="12" t="s">
        <v>200</v>
      </c>
      <c r="E132" s="12" t="s">
        <v>208</v>
      </c>
      <c r="F132" s="12" t="s">
        <v>211</v>
      </c>
      <c r="G132" s="12" t="s">
        <v>213</v>
      </c>
      <c r="H132" s="12" t="s">
        <v>217</v>
      </c>
      <c r="I132" s="12">
        <v>6</v>
      </c>
      <c r="J132" s="12">
        <v>13527</v>
      </c>
      <c r="K132" s="12">
        <v>10623</v>
      </c>
      <c r="L132" s="12" t="s">
        <v>226</v>
      </c>
      <c r="M132" s="12">
        <f>Business_Table[[#This Row],[Sales_Amount]]-Business_Table[[#This Row],[Cost_Amount]]</f>
        <v>2904</v>
      </c>
      <c r="N132" s="13">
        <f>Business_Table[[#This Row],[Profit]]/Business_Table[[#This Row],[Sales_Amount]]</f>
        <v>0.21468174761587935</v>
      </c>
    </row>
    <row r="133" spans="1:14" x14ac:dyDescent="0.3">
      <c r="A133" s="10" t="s">
        <v>143</v>
      </c>
      <c r="B133" s="11">
        <v>45416</v>
      </c>
      <c r="C133" s="12" t="s">
        <v>192</v>
      </c>
      <c r="D133" s="12" t="s">
        <v>196</v>
      </c>
      <c r="E133" s="12" t="s">
        <v>209</v>
      </c>
      <c r="F133" s="12" t="s">
        <v>210</v>
      </c>
      <c r="G133" s="12" t="s">
        <v>214</v>
      </c>
      <c r="H133" s="12" t="s">
        <v>223</v>
      </c>
      <c r="I133" s="12">
        <v>5</v>
      </c>
      <c r="J133" s="12">
        <v>8059</v>
      </c>
      <c r="K133" s="12">
        <v>5766</v>
      </c>
      <c r="L133" s="12" t="s">
        <v>228</v>
      </c>
      <c r="M133" s="12">
        <f>Business_Table[[#This Row],[Sales_Amount]]-Business_Table[[#This Row],[Cost_Amount]]</f>
        <v>2293</v>
      </c>
      <c r="N133" s="13">
        <f>Business_Table[[#This Row],[Profit]]/Business_Table[[#This Row],[Sales_Amount]]</f>
        <v>0.28452661620548453</v>
      </c>
    </row>
    <row r="134" spans="1:14" x14ac:dyDescent="0.3">
      <c r="A134" s="10" t="s">
        <v>144</v>
      </c>
      <c r="B134" s="11">
        <v>45465</v>
      </c>
      <c r="C134" s="12" t="s">
        <v>194</v>
      </c>
      <c r="D134" s="12" t="s">
        <v>203</v>
      </c>
      <c r="E134" s="12" t="s">
        <v>209</v>
      </c>
      <c r="F134" s="12" t="s">
        <v>210</v>
      </c>
      <c r="G134" s="12" t="s">
        <v>214</v>
      </c>
      <c r="H134" s="12" t="s">
        <v>223</v>
      </c>
      <c r="I134" s="12">
        <v>6</v>
      </c>
      <c r="J134" s="12">
        <v>7843</v>
      </c>
      <c r="K134" s="12">
        <v>4531</v>
      </c>
      <c r="L134" s="12" t="s">
        <v>224</v>
      </c>
      <c r="M134" s="12">
        <f>Business_Table[[#This Row],[Sales_Amount]]-Business_Table[[#This Row],[Cost_Amount]]</f>
        <v>3312</v>
      </c>
      <c r="N134" s="13">
        <f>Business_Table[[#This Row],[Profit]]/Business_Table[[#This Row],[Sales_Amount]]</f>
        <v>0.42228739002932553</v>
      </c>
    </row>
    <row r="135" spans="1:14" x14ac:dyDescent="0.3">
      <c r="A135" s="10" t="s">
        <v>145</v>
      </c>
      <c r="B135" s="11">
        <v>45346</v>
      </c>
      <c r="C135" s="12" t="s">
        <v>194</v>
      </c>
      <c r="D135" s="12" t="s">
        <v>200</v>
      </c>
      <c r="E135" s="12" t="s">
        <v>209</v>
      </c>
      <c r="F135" s="12" t="s">
        <v>210</v>
      </c>
      <c r="G135" s="12" t="s">
        <v>213</v>
      </c>
      <c r="H135" s="12" t="s">
        <v>220</v>
      </c>
      <c r="I135" s="12">
        <v>1</v>
      </c>
      <c r="J135" s="12">
        <v>925</v>
      </c>
      <c r="K135" s="12">
        <v>556</v>
      </c>
      <c r="L135" s="12" t="s">
        <v>228</v>
      </c>
      <c r="M135" s="12">
        <f>Business_Table[[#This Row],[Sales_Amount]]-Business_Table[[#This Row],[Cost_Amount]]</f>
        <v>369</v>
      </c>
      <c r="N135" s="13">
        <f>Business_Table[[#This Row],[Profit]]/Business_Table[[#This Row],[Sales_Amount]]</f>
        <v>0.3989189189189189</v>
      </c>
    </row>
    <row r="136" spans="1:14" x14ac:dyDescent="0.3">
      <c r="A136" s="10" t="s">
        <v>146</v>
      </c>
      <c r="B136" s="11">
        <v>45428</v>
      </c>
      <c r="C136" s="12" t="s">
        <v>192</v>
      </c>
      <c r="D136" s="12" t="s">
        <v>196</v>
      </c>
      <c r="E136" s="12" t="s">
        <v>208</v>
      </c>
      <c r="F136" s="12" t="s">
        <v>210</v>
      </c>
      <c r="G136" s="12" t="s">
        <v>212</v>
      </c>
      <c r="H136" s="12" t="s">
        <v>219</v>
      </c>
      <c r="I136" s="12">
        <v>7</v>
      </c>
      <c r="J136" s="12">
        <v>3678</v>
      </c>
      <c r="K136" s="12">
        <v>2141</v>
      </c>
      <c r="L136" s="12" t="s">
        <v>224</v>
      </c>
      <c r="M136" s="12">
        <f>Business_Table[[#This Row],[Sales_Amount]]-Business_Table[[#This Row],[Cost_Amount]]</f>
        <v>1537</v>
      </c>
      <c r="N136" s="13">
        <f>Business_Table[[#This Row],[Profit]]/Business_Table[[#This Row],[Sales_Amount]]</f>
        <v>0.41789015769439913</v>
      </c>
    </row>
    <row r="137" spans="1:14" x14ac:dyDescent="0.3">
      <c r="A137" s="10" t="s">
        <v>147</v>
      </c>
      <c r="B137" s="11">
        <v>45311</v>
      </c>
      <c r="C137" s="12" t="s">
        <v>195</v>
      </c>
      <c r="D137" s="12" t="s">
        <v>206</v>
      </c>
      <c r="E137" s="12" t="s">
        <v>209</v>
      </c>
      <c r="F137" s="12" t="s">
        <v>210</v>
      </c>
      <c r="G137" s="12" t="s">
        <v>214</v>
      </c>
      <c r="H137" s="12" t="s">
        <v>223</v>
      </c>
      <c r="I137" s="12">
        <v>7</v>
      </c>
      <c r="J137" s="12">
        <v>1107</v>
      </c>
      <c r="K137" s="12">
        <v>736</v>
      </c>
      <c r="L137" s="12" t="s">
        <v>225</v>
      </c>
      <c r="M137" s="12">
        <f>Business_Table[[#This Row],[Sales_Amount]]-Business_Table[[#This Row],[Cost_Amount]]</f>
        <v>371</v>
      </c>
      <c r="N137" s="13">
        <f>Business_Table[[#This Row],[Profit]]/Business_Table[[#This Row],[Sales_Amount]]</f>
        <v>0.33514001806684734</v>
      </c>
    </row>
    <row r="138" spans="1:14" x14ac:dyDescent="0.3">
      <c r="A138" s="10" t="s">
        <v>148</v>
      </c>
      <c r="B138" s="11">
        <v>45450</v>
      </c>
      <c r="C138" s="12" t="s">
        <v>193</v>
      </c>
      <c r="D138" s="12" t="s">
        <v>198</v>
      </c>
      <c r="E138" s="12" t="s">
        <v>209</v>
      </c>
      <c r="F138" s="12" t="s">
        <v>211</v>
      </c>
      <c r="G138" s="12" t="s">
        <v>212</v>
      </c>
      <c r="H138" s="12" t="s">
        <v>219</v>
      </c>
      <c r="I138" s="12">
        <v>1</v>
      </c>
      <c r="J138" s="12">
        <v>6121</v>
      </c>
      <c r="K138" s="12">
        <v>3629</v>
      </c>
      <c r="L138" s="12" t="s">
        <v>225</v>
      </c>
      <c r="M138" s="12">
        <f>Business_Table[[#This Row],[Sales_Amount]]-Business_Table[[#This Row],[Cost_Amount]]</f>
        <v>2492</v>
      </c>
      <c r="N138" s="13">
        <f>Business_Table[[#This Row],[Profit]]/Business_Table[[#This Row],[Sales_Amount]]</f>
        <v>0.40712301911452375</v>
      </c>
    </row>
    <row r="139" spans="1:14" x14ac:dyDescent="0.3">
      <c r="A139" s="10" t="s">
        <v>149</v>
      </c>
      <c r="B139" s="11">
        <v>45393</v>
      </c>
      <c r="C139" s="12" t="s">
        <v>192</v>
      </c>
      <c r="D139" s="12" t="s">
        <v>207</v>
      </c>
      <c r="E139" s="12" t="s">
        <v>209</v>
      </c>
      <c r="F139" s="12" t="s">
        <v>211</v>
      </c>
      <c r="G139" s="12" t="s">
        <v>212</v>
      </c>
      <c r="H139" s="12" t="s">
        <v>219</v>
      </c>
      <c r="I139" s="12">
        <v>10</v>
      </c>
      <c r="J139" s="12">
        <v>7360</v>
      </c>
      <c r="K139" s="12">
        <v>5012</v>
      </c>
      <c r="L139" s="12" t="s">
        <v>228</v>
      </c>
      <c r="M139" s="12">
        <f>Business_Table[[#This Row],[Sales_Amount]]-Business_Table[[#This Row],[Cost_Amount]]</f>
        <v>2348</v>
      </c>
      <c r="N139" s="13">
        <f>Business_Table[[#This Row],[Profit]]/Business_Table[[#This Row],[Sales_Amount]]</f>
        <v>0.3190217391304348</v>
      </c>
    </row>
    <row r="140" spans="1:14" x14ac:dyDescent="0.3">
      <c r="A140" s="10" t="s">
        <v>150</v>
      </c>
      <c r="B140" s="11">
        <v>45381</v>
      </c>
      <c r="C140" s="12" t="s">
        <v>194</v>
      </c>
      <c r="D140" s="12" t="s">
        <v>204</v>
      </c>
      <c r="E140" s="12" t="s">
        <v>208</v>
      </c>
      <c r="F140" s="12" t="s">
        <v>211</v>
      </c>
      <c r="G140" s="12" t="s">
        <v>212</v>
      </c>
      <c r="H140" s="12" t="s">
        <v>215</v>
      </c>
      <c r="I140" s="12">
        <v>2</v>
      </c>
      <c r="J140" s="12">
        <v>9493</v>
      </c>
      <c r="K140" s="12">
        <v>6431</v>
      </c>
      <c r="L140" s="12" t="s">
        <v>224</v>
      </c>
      <c r="M140" s="12">
        <f>Business_Table[[#This Row],[Sales_Amount]]-Business_Table[[#This Row],[Cost_Amount]]</f>
        <v>3062</v>
      </c>
      <c r="N140" s="13">
        <f>Business_Table[[#This Row],[Profit]]/Business_Table[[#This Row],[Sales_Amount]]</f>
        <v>0.32255346044453809</v>
      </c>
    </row>
    <row r="141" spans="1:14" x14ac:dyDescent="0.3">
      <c r="A141" s="10" t="s">
        <v>151</v>
      </c>
      <c r="B141" s="11">
        <v>45459</v>
      </c>
      <c r="C141" s="12" t="s">
        <v>194</v>
      </c>
      <c r="D141" s="12" t="s">
        <v>200</v>
      </c>
      <c r="E141" s="12" t="s">
        <v>208</v>
      </c>
      <c r="F141" s="12" t="s">
        <v>210</v>
      </c>
      <c r="G141" s="12" t="s">
        <v>213</v>
      </c>
      <c r="H141" s="12" t="s">
        <v>222</v>
      </c>
      <c r="I141" s="12">
        <v>3</v>
      </c>
      <c r="J141" s="12">
        <v>10669</v>
      </c>
      <c r="K141" s="12">
        <v>6275</v>
      </c>
      <c r="L141" s="12" t="s">
        <v>225</v>
      </c>
      <c r="M141" s="12">
        <f>Business_Table[[#This Row],[Sales_Amount]]-Business_Table[[#This Row],[Cost_Amount]]</f>
        <v>4394</v>
      </c>
      <c r="N141" s="13">
        <f>Business_Table[[#This Row],[Profit]]/Business_Table[[#This Row],[Sales_Amount]]</f>
        <v>0.41184740837941702</v>
      </c>
    </row>
    <row r="142" spans="1:14" x14ac:dyDescent="0.3">
      <c r="A142" s="10" t="s">
        <v>152</v>
      </c>
      <c r="B142" s="11">
        <v>45452</v>
      </c>
      <c r="C142" s="12" t="s">
        <v>195</v>
      </c>
      <c r="D142" s="12" t="s">
        <v>206</v>
      </c>
      <c r="E142" s="12" t="s">
        <v>208</v>
      </c>
      <c r="F142" s="12" t="s">
        <v>210</v>
      </c>
      <c r="G142" s="12" t="s">
        <v>214</v>
      </c>
      <c r="H142" s="12" t="s">
        <v>218</v>
      </c>
      <c r="I142" s="12">
        <v>10</v>
      </c>
      <c r="J142" s="12">
        <v>6095</v>
      </c>
      <c r="K142" s="12">
        <v>4669</v>
      </c>
      <c r="L142" s="12" t="s">
        <v>224</v>
      </c>
      <c r="M142" s="12">
        <f>Business_Table[[#This Row],[Sales_Amount]]-Business_Table[[#This Row],[Cost_Amount]]</f>
        <v>1426</v>
      </c>
      <c r="N142" s="13">
        <f>Business_Table[[#This Row],[Profit]]/Business_Table[[#This Row],[Sales_Amount]]</f>
        <v>0.2339622641509434</v>
      </c>
    </row>
    <row r="143" spans="1:14" x14ac:dyDescent="0.3">
      <c r="A143" s="10" t="s">
        <v>153</v>
      </c>
      <c r="B143" s="11">
        <v>45306</v>
      </c>
      <c r="C143" s="12" t="s">
        <v>195</v>
      </c>
      <c r="D143" s="12" t="s">
        <v>206</v>
      </c>
      <c r="E143" s="12" t="s">
        <v>208</v>
      </c>
      <c r="F143" s="12" t="s">
        <v>210</v>
      </c>
      <c r="G143" s="12" t="s">
        <v>213</v>
      </c>
      <c r="H143" s="12" t="s">
        <v>220</v>
      </c>
      <c r="I143" s="12">
        <v>5</v>
      </c>
      <c r="J143" s="12">
        <v>13847</v>
      </c>
      <c r="K143" s="12">
        <v>8566</v>
      </c>
      <c r="L143" s="12" t="s">
        <v>225</v>
      </c>
      <c r="M143" s="12">
        <f>Business_Table[[#This Row],[Sales_Amount]]-Business_Table[[#This Row],[Cost_Amount]]</f>
        <v>5281</v>
      </c>
      <c r="N143" s="13">
        <f>Business_Table[[#This Row],[Profit]]/Business_Table[[#This Row],[Sales_Amount]]</f>
        <v>0.3813822488625695</v>
      </c>
    </row>
    <row r="144" spans="1:14" x14ac:dyDescent="0.3">
      <c r="A144" s="10" t="s">
        <v>154</v>
      </c>
      <c r="B144" s="11">
        <v>45457</v>
      </c>
      <c r="C144" s="12" t="s">
        <v>195</v>
      </c>
      <c r="D144" s="12" t="s">
        <v>202</v>
      </c>
      <c r="E144" s="12" t="s">
        <v>209</v>
      </c>
      <c r="F144" s="12" t="s">
        <v>210</v>
      </c>
      <c r="G144" s="12" t="s">
        <v>212</v>
      </c>
      <c r="H144" s="12" t="s">
        <v>216</v>
      </c>
      <c r="I144" s="12">
        <v>6</v>
      </c>
      <c r="J144" s="12">
        <v>14426</v>
      </c>
      <c r="K144" s="12">
        <v>8969</v>
      </c>
      <c r="L144" s="12" t="s">
        <v>227</v>
      </c>
      <c r="M144" s="12">
        <f>Business_Table[[#This Row],[Sales_Amount]]-Business_Table[[#This Row],[Cost_Amount]]</f>
        <v>5457</v>
      </c>
      <c r="N144" s="13">
        <f>Business_Table[[#This Row],[Profit]]/Business_Table[[#This Row],[Sales_Amount]]</f>
        <v>0.37827533619853043</v>
      </c>
    </row>
    <row r="145" spans="1:14" x14ac:dyDescent="0.3">
      <c r="A145" s="10" t="s">
        <v>155</v>
      </c>
      <c r="B145" s="11">
        <v>45420</v>
      </c>
      <c r="C145" s="12" t="s">
        <v>192</v>
      </c>
      <c r="D145" s="12" t="s">
        <v>197</v>
      </c>
      <c r="E145" s="12" t="s">
        <v>208</v>
      </c>
      <c r="F145" s="12" t="s">
        <v>210</v>
      </c>
      <c r="G145" s="12" t="s">
        <v>213</v>
      </c>
      <c r="H145" s="12" t="s">
        <v>220</v>
      </c>
      <c r="I145" s="12">
        <v>4</v>
      </c>
      <c r="J145" s="12">
        <v>6067</v>
      </c>
      <c r="K145" s="12">
        <v>4254</v>
      </c>
      <c r="L145" s="12" t="s">
        <v>224</v>
      </c>
      <c r="M145" s="12">
        <f>Business_Table[[#This Row],[Sales_Amount]]-Business_Table[[#This Row],[Cost_Amount]]</f>
        <v>1813</v>
      </c>
      <c r="N145" s="13">
        <f>Business_Table[[#This Row],[Profit]]/Business_Table[[#This Row],[Sales_Amount]]</f>
        <v>0.29882973462996537</v>
      </c>
    </row>
    <row r="146" spans="1:14" x14ac:dyDescent="0.3">
      <c r="A146" s="10" t="s">
        <v>156</v>
      </c>
      <c r="B146" s="11">
        <v>45355</v>
      </c>
      <c r="C146" s="12" t="s">
        <v>193</v>
      </c>
      <c r="D146" s="12" t="s">
        <v>201</v>
      </c>
      <c r="E146" s="12" t="s">
        <v>209</v>
      </c>
      <c r="F146" s="12" t="s">
        <v>210</v>
      </c>
      <c r="G146" s="12" t="s">
        <v>214</v>
      </c>
      <c r="H146" s="12" t="s">
        <v>223</v>
      </c>
      <c r="I146" s="12">
        <v>9</v>
      </c>
      <c r="J146" s="12">
        <v>11386</v>
      </c>
      <c r="K146" s="12">
        <v>6753</v>
      </c>
      <c r="L146" s="12" t="s">
        <v>227</v>
      </c>
      <c r="M146" s="12">
        <f>Business_Table[[#This Row],[Sales_Amount]]-Business_Table[[#This Row],[Cost_Amount]]</f>
        <v>4633</v>
      </c>
      <c r="N146" s="13">
        <f>Business_Table[[#This Row],[Profit]]/Business_Table[[#This Row],[Sales_Amount]]</f>
        <v>0.40690321447391531</v>
      </c>
    </row>
    <row r="147" spans="1:14" x14ac:dyDescent="0.3">
      <c r="A147" s="10" t="s">
        <v>157</v>
      </c>
      <c r="B147" s="11">
        <v>45378</v>
      </c>
      <c r="C147" s="12" t="s">
        <v>194</v>
      </c>
      <c r="D147" s="12" t="s">
        <v>203</v>
      </c>
      <c r="E147" s="12" t="s">
        <v>208</v>
      </c>
      <c r="F147" s="12" t="s">
        <v>210</v>
      </c>
      <c r="G147" s="12" t="s">
        <v>213</v>
      </c>
      <c r="H147" s="12" t="s">
        <v>217</v>
      </c>
      <c r="I147" s="12">
        <v>5</v>
      </c>
      <c r="J147" s="12">
        <v>7147</v>
      </c>
      <c r="K147" s="12">
        <v>4661</v>
      </c>
      <c r="L147" s="12" t="s">
        <v>224</v>
      </c>
      <c r="M147" s="12">
        <f>Business_Table[[#This Row],[Sales_Amount]]-Business_Table[[#This Row],[Cost_Amount]]</f>
        <v>2486</v>
      </c>
      <c r="N147" s="13">
        <f>Business_Table[[#This Row],[Profit]]/Business_Table[[#This Row],[Sales_Amount]]</f>
        <v>0.3478382538127886</v>
      </c>
    </row>
    <row r="148" spans="1:14" x14ac:dyDescent="0.3">
      <c r="A148" s="10" t="s">
        <v>158</v>
      </c>
      <c r="B148" s="11">
        <v>45460</v>
      </c>
      <c r="C148" s="12" t="s">
        <v>193</v>
      </c>
      <c r="D148" s="12" t="s">
        <v>201</v>
      </c>
      <c r="E148" s="12" t="s">
        <v>208</v>
      </c>
      <c r="F148" s="12" t="s">
        <v>210</v>
      </c>
      <c r="G148" s="12" t="s">
        <v>212</v>
      </c>
      <c r="H148" s="12" t="s">
        <v>215</v>
      </c>
      <c r="I148" s="12">
        <v>7</v>
      </c>
      <c r="J148" s="12">
        <v>5455</v>
      </c>
      <c r="K148" s="12">
        <v>3343</v>
      </c>
      <c r="L148" s="12" t="s">
        <v>224</v>
      </c>
      <c r="M148" s="12">
        <f>Business_Table[[#This Row],[Sales_Amount]]-Business_Table[[#This Row],[Cost_Amount]]</f>
        <v>2112</v>
      </c>
      <c r="N148" s="13">
        <f>Business_Table[[#This Row],[Profit]]/Business_Table[[#This Row],[Sales_Amount]]</f>
        <v>0.38716773602199817</v>
      </c>
    </row>
    <row r="149" spans="1:14" x14ac:dyDescent="0.3">
      <c r="A149" s="10" t="s">
        <v>159</v>
      </c>
      <c r="B149" s="11">
        <v>45313</v>
      </c>
      <c r="C149" s="12" t="s">
        <v>194</v>
      </c>
      <c r="D149" s="12" t="s">
        <v>204</v>
      </c>
      <c r="E149" s="12" t="s">
        <v>209</v>
      </c>
      <c r="F149" s="12" t="s">
        <v>210</v>
      </c>
      <c r="G149" s="12" t="s">
        <v>213</v>
      </c>
      <c r="H149" s="12" t="s">
        <v>217</v>
      </c>
      <c r="I149" s="12">
        <v>7</v>
      </c>
      <c r="J149" s="12">
        <v>2912</v>
      </c>
      <c r="K149" s="12">
        <v>2034</v>
      </c>
      <c r="L149" s="12" t="s">
        <v>226</v>
      </c>
      <c r="M149" s="12">
        <f>Business_Table[[#This Row],[Sales_Amount]]-Business_Table[[#This Row],[Cost_Amount]]</f>
        <v>878</v>
      </c>
      <c r="N149" s="13">
        <f>Business_Table[[#This Row],[Profit]]/Business_Table[[#This Row],[Sales_Amount]]</f>
        <v>0.30151098901098899</v>
      </c>
    </row>
    <row r="150" spans="1:14" x14ac:dyDescent="0.3">
      <c r="A150" s="10" t="s">
        <v>160</v>
      </c>
      <c r="B150" s="11">
        <v>45384</v>
      </c>
      <c r="C150" s="12" t="s">
        <v>192</v>
      </c>
      <c r="D150" s="12" t="s">
        <v>207</v>
      </c>
      <c r="E150" s="12" t="s">
        <v>208</v>
      </c>
      <c r="F150" s="12" t="s">
        <v>211</v>
      </c>
      <c r="G150" s="12" t="s">
        <v>214</v>
      </c>
      <c r="H150" s="12" t="s">
        <v>218</v>
      </c>
      <c r="I150" s="12">
        <v>7</v>
      </c>
      <c r="J150" s="12">
        <v>9131</v>
      </c>
      <c r="K150" s="12">
        <v>5848</v>
      </c>
      <c r="L150" s="12" t="s">
        <v>228</v>
      </c>
      <c r="M150" s="12">
        <f>Business_Table[[#This Row],[Sales_Amount]]-Business_Table[[#This Row],[Cost_Amount]]</f>
        <v>3283</v>
      </c>
      <c r="N150" s="13">
        <f>Business_Table[[#This Row],[Profit]]/Business_Table[[#This Row],[Sales_Amount]]</f>
        <v>0.35954440915562369</v>
      </c>
    </row>
    <row r="151" spans="1:14" x14ac:dyDescent="0.3">
      <c r="A151" s="10" t="s">
        <v>161</v>
      </c>
      <c r="B151" s="11">
        <v>45317</v>
      </c>
      <c r="C151" s="12" t="s">
        <v>195</v>
      </c>
      <c r="D151" s="12" t="s">
        <v>205</v>
      </c>
      <c r="E151" s="12" t="s">
        <v>208</v>
      </c>
      <c r="F151" s="12" t="s">
        <v>210</v>
      </c>
      <c r="G151" s="12" t="s">
        <v>212</v>
      </c>
      <c r="H151" s="12" t="s">
        <v>216</v>
      </c>
      <c r="I151" s="12">
        <v>3</v>
      </c>
      <c r="J151" s="12">
        <v>3338</v>
      </c>
      <c r="K151" s="12">
        <v>1900</v>
      </c>
      <c r="L151" s="12" t="s">
        <v>227</v>
      </c>
      <c r="M151" s="12">
        <f>Business_Table[[#This Row],[Sales_Amount]]-Business_Table[[#This Row],[Cost_Amount]]</f>
        <v>1438</v>
      </c>
      <c r="N151" s="13">
        <f>Business_Table[[#This Row],[Profit]]/Business_Table[[#This Row],[Sales_Amount]]</f>
        <v>0.43079688436189334</v>
      </c>
    </row>
    <row r="152" spans="1:14" x14ac:dyDescent="0.3">
      <c r="A152" s="10" t="s">
        <v>162</v>
      </c>
      <c r="B152" s="11">
        <v>45469</v>
      </c>
      <c r="C152" s="12" t="s">
        <v>194</v>
      </c>
      <c r="D152" s="12" t="s">
        <v>203</v>
      </c>
      <c r="E152" s="12" t="s">
        <v>208</v>
      </c>
      <c r="F152" s="12" t="s">
        <v>210</v>
      </c>
      <c r="G152" s="12" t="s">
        <v>214</v>
      </c>
      <c r="H152" s="12" t="s">
        <v>221</v>
      </c>
      <c r="I152" s="12">
        <v>3</v>
      </c>
      <c r="J152" s="12">
        <v>3458</v>
      </c>
      <c r="K152" s="12">
        <v>2058</v>
      </c>
      <c r="L152" s="12" t="s">
        <v>224</v>
      </c>
      <c r="M152" s="12">
        <f>Business_Table[[#This Row],[Sales_Amount]]-Business_Table[[#This Row],[Cost_Amount]]</f>
        <v>1400</v>
      </c>
      <c r="N152" s="13">
        <f>Business_Table[[#This Row],[Profit]]/Business_Table[[#This Row],[Sales_Amount]]</f>
        <v>0.40485829959514169</v>
      </c>
    </row>
    <row r="153" spans="1:14" x14ac:dyDescent="0.3">
      <c r="A153" s="10" t="s">
        <v>163</v>
      </c>
      <c r="B153" s="11">
        <v>45406</v>
      </c>
      <c r="C153" s="12" t="s">
        <v>195</v>
      </c>
      <c r="D153" s="12" t="s">
        <v>202</v>
      </c>
      <c r="E153" s="12" t="s">
        <v>208</v>
      </c>
      <c r="F153" s="12" t="s">
        <v>210</v>
      </c>
      <c r="G153" s="12" t="s">
        <v>213</v>
      </c>
      <c r="H153" s="12" t="s">
        <v>220</v>
      </c>
      <c r="I153" s="12">
        <v>4</v>
      </c>
      <c r="J153" s="12">
        <v>8077</v>
      </c>
      <c r="K153" s="12">
        <v>5675</v>
      </c>
      <c r="L153" s="12" t="s">
        <v>225</v>
      </c>
      <c r="M153" s="12">
        <f>Business_Table[[#This Row],[Sales_Amount]]-Business_Table[[#This Row],[Cost_Amount]]</f>
        <v>2402</v>
      </c>
      <c r="N153" s="13">
        <f>Business_Table[[#This Row],[Profit]]/Business_Table[[#This Row],[Sales_Amount]]</f>
        <v>0.29738764392720068</v>
      </c>
    </row>
    <row r="154" spans="1:14" x14ac:dyDescent="0.3">
      <c r="A154" s="10" t="s">
        <v>164</v>
      </c>
      <c r="B154" s="11">
        <v>45364</v>
      </c>
      <c r="C154" s="12" t="s">
        <v>194</v>
      </c>
      <c r="D154" s="12" t="s">
        <v>204</v>
      </c>
      <c r="E154" s="12" t="s">
        <v>209</v>
      </c>
      <c r="F154" s="12" t="s">
        <v>211</v>
      </c>
      <c r="G154" s="12" t="s">
        <v>213</v>
      </c>
      <c r="H154" s="12" t="s">
        <v>220</v>
      </c>
      <c r="I154" s="12">
        <v>10</v>
      </c>
      <c r="J154" s="12">
        <v>8018</v>
      </c>
      <c r="K154" s="12">
        <v>5335</v>
      </c>
      <c r="L154" s="12" t="s">
        <v>226</v>
      </c>
      <c r="M154" s="12">
        <f>Business_Table[[#This Row],[Sales_Amount]]-Business_Table[[#This Row],[Cost_Amount]]</f>
        <v>2683</v>
      </c>
      <c r="N154" s="13">
        <f>Business_Table[[#This Row],[Profit]]/Business_Table[[#This Row],[Sales_Amount]]</f>
        <v>0.33462210027438266</v>
      </c>
    </row>
    <row r="155" spans="1:14" x14ac:dyDescent="0.3">
      <c r="A155" s="10" t="s">
        <v>165</v>
      </c>
      <c r="B155" s="11">
        <v>45318</v>
      </c>
      <c r="C155" s="12" t="s">
        <v>194</v>
      </c>
      <c r="D155" s="12" t="s">
        <v>203</v>
      </c>
      <c r="E155" s="12" t="s">
        <v>208</v>
      </c>
      <c r="F155" s="12" t="s">
        <v>210</v>
      </c>
      <c r="G155" s="12" t="s">
        <v>213</v>
      </c>
      <c r="H155" s="12" t="s">
        <v>222</v>
      </c>
      <c r="I155" s="12">
        <v>8</v>
      </c>
      <c r="J155" s="12">
        <v>6881</v>
      </c>
      <c r="K155" s="12">
        <v>4738</v>
      </c>
      <c r="L155" s="12" t="s">
        <v>224</v>
      </c>
      <c r="M155" s="12">
        <f>Business_Table[[#This Row],[Sales_Amount]]-Business_Table[[#This Row],[Cost_Amount]]</f>
        <v>2143</v>
      </c>
      <c r="N155" s="13">
        <f>Business_Table[[#This Row],[Profit]]/Business_Table[[#This Row],[Sales_Amount]]</f>
        <v>0.31143729109141111</v>
      </c>
    </row>
    <row r="156" spans="1:14" x14ac:dyDescent="0.3">
      <c r="A156" s="10" t="s">
        <v>166</v>
      </c>
      <c r="B156" s="11">
        <v>45315</v>
      </c>
      <c r="C156" s="12" t="s">
        <v>194</v>
      </c>
      <c r="D156" s="12" t="s">
        <v>200</v>
      </c>
      <c r="E156" s="12" t="s">
        <v>209</v>
      </c>
      <c r="F156" s="12" t="s">
        <v>210</v>
      </c>
      <c r="G156" s="12" t="s">
        <v>213</v>
      </c>
      <c r="H156" s="12" t="s">
        <v>217</v>
      </c>
      <c r="I156" s="12">
        <v>9</v>
      </c>
      <c r="J156" s="12">
        <v>3214</v>
      </c>
      <c r="K156" s="12">
        <v>2435</v>
      </c>
      <c r="L156" s="12" t="s">
        <v>224</v>
      </c>
      <c r="M156" s="12">
        <f>Business_Table[[#This Row],[Sales_Amount]]-Business_Table[[#This Row],[Cost_Amount]]</f>
        <v>779</v>
      </c>
      <c r="N156" s="13">
        <f>Business_Table[[#This Row],[Profit]]/Business_Table[[#This Row],[Sales_Amount]]</f>
        <v>0.24237710018668326</v>
      </c>
    </row>
    <row r="157" spans="1:14" x14ac:dyDescent="0.3">
      <c r="A157" s="10" t="s">
        <v>167</v>
      </c>
      <c r="B157" s="11">
        <v>45312</v>
      </c>
      <c r="C157" s="12" t="s">
        <v>195</v>
      </c>
      <c r="D157" s="12" t="s">
        <v>206</v>
      </c>
      <c r="E157" s="12" t="s">
        <v>208</v>
      </c>
      <c r="F157" s="12" t="s">
        <v>211</v>
      </c>
      <c r="G157" s="12" t="s">
        <v>212</v>
      </c>
      <c r="H157" s="12" t="s">
        <v>219</v>
      </c>
      <c r="I157" s="12">
        <v>9</v>
      </c>
      <c r="J157" s="12">
        <v>6926</v>
      </c>
      <c r="K157" s="12">
        <v>4217</v>
      </c>
      <c r="L157" s="12" t="s">
        <v>228</v>
      </c>
      <c r="M157" s="12">
        <f>Business_Table[[#This Row],[Sales_Amount]]-Business_Table[[#This Row],[Cost_Amount]]</f>
        <v>2709</v>
      </c>
      <c r="N157" s="13">
        <f>Business_Table[[#This Row],[Profit]]/Business_Table[[#This Row],[Sales_Amount]]</f>
        <v>0.39113485417268262</v>
      </c>
    </row>
    <row r="158" spans="1:14" x14ac:dyDescent="0.3">
      <c r="A158" s="10" t="s">
        <v>168</v>
      </c>
      <c r="B158" s="11">
        <v>45301</v>
      </c>
      <c r="C158" s="12" t="s">
        <v>192</v>
      </c>
      <c r="D158" s="12" t="s">
        <v>207</v>
      </c>
      <c r="E158" s="12" t="s">
        <v>209</v>
      </c>
      <c r="F158" s="12" t="s">
        <v>211</v>
      </c>
      <c r="G158" s="12" t="s">
        <v>214</v>
      </c>
      <c r="H158" s="12" t="s">
        <v>218</v>
      </c>
      <c r="I158" s="12">
        <v>6</v>
      </c>
      <c r="J158" s="12">
        <v>13765</v>
      </c>
      <c r="K158" s="12">
        <v>8073</v>
      </c>
      <c r="L158" s="12" t="s">
        <v>225</v>
      </c>
      <c r="M158" s="12">
        <f>Business_Table[[#This Row],[Sales_Amount]]-Business_Table[[#This Row],[Cost_Amount]]</f>
        <v>5692</v>
      </c>
      <c r="N158" s="13">
        <f>Business_Table[[#This Row],[Profit]]/Business_Table[[#This Row],[Sales_Amount]]</f>
        <v>0.41351253178350889</v>
      </c>
    </row>
    <row r="159" spans="1:14" x14ac:dyDescent="0.3">
      <c r="A159" s="10" t="s">
        <v>169</v>
      </c>
      <c r="B159" s="11">
        <v>45330</v>
      </c>
      <c r="C159" s="12" t="s">
        <v>195</v>
      </c>
      <c r="D159" s="12" t="s">
        <v>205</v>
      </c>
      <c r="E159" s="12" t="s">
        <v>209</v>
      </c>
      <c r="F159" s="12" t="s">
        <v>211</v>
      </c>
      <c r="G159" s="12" t="s">
        <v>214</v>
      </c>
      <c r="H159" s="12" t="s">
        <v>223</v>
      </c>
      <c r="I159" s="12">
        <v>2</v>
      </c>
      <c r="J159" s="12">
        <v>1111</v>
      </c>
      <c r="K159" s="12">
        <v>682</v>
      </c>
      <c r="L159" s="12" t="s">
        <v>228</v>
      </c>
      <c r="M159" s="12">
        <f>Business_Table[[#This Row],[Sales_Amount]]-Business_Table[[#This Row],[Cost_Amount]]</f>
        <v>429</v>
      </c>
      <c r="N159" s="13">
        <f>Business_Table[[#This Row],[Profit]]/Business_Table[[#This Row],[Sales_Amount]]</f>
        <v>0.38613861386138615</v>
      </c>
    </row>
    <row r="160" spans="1:14" x14ac:dyDescent="0.3">
      <c r="A160" s="10" t="s">
        <v>170</v>
      </c>
      <c r="B160" s="11">
        <v>45451</v>
      </c>
      <c r="C160" s="12" t="s">
        <v>194</v>
      </c>
      <c r="D160" s="12" t="s">
        <v>204</v>
      </c>
      <c r="E160" s="12" t="s">
        <v>208</v>
      </c>
      <c r="F160" s="12" t="s">
        <v>211</v>
      </c>
      <c r="G160" s="12" t="s">
        <v>213</v>
      </c>
      <c r="H160" s="12" t="s">
        <v>222</v>
      </c>
      <c r="I160" s="12">
        <v>1</v>
      </c>
      <c r="J160" s="12">
        <v>4706</v>
      </c>
      <c r="K160" s="12">
        <v>3082</v>
      </c>
      <c r="L160" s="12" t="s">
        <v>225</v>
      </c>
      <c r="M160" s="12">
        <f>Business_Table[[#This Row],[Sales_Amount]]-Business_Table[[#This Row],[Cost_Amount]]</f>
        <v>1624</v>
      </c>
      <c r="N160" s="13">
        <f>Business_Table[[#This Row],[Profit]]/Business_Table[[#This Row],[Sales_Amount]]</f>
        <v>0.34509137271568213</v>
      </c>
    </row>
    <row r="161" spans="1:14" x14ac:dyDescent="0.3">
      <c r="A161" s="10" t="s">
        <v>171</v>
      </c>
      <c r="B161" s="11">
        <v>45366</v>
      </c>
      <c r="C161" s="12" t="s">
        <v>192</v>
      </c>
      <c r="D161" s="12" t="s">
        <v>207</v>
      </c>
      <c r="E161" s="12" t="s">
        <v>208</v>
      </c>
      <c r="F161" s="12" t="s">
        <v>210</v>
      </c>
      <c r="G161" s="12" t="s">
        <v>214</v>
      </c>
      <c r="H161" s="12" t="s">
        <v>218</v>
      </c>
      <c r="I161" s="12">
        <v>10</v>
      </c>
      <c r="J161" s="12">
        <v>4763</v>
      </c>
      <c r="K161" s="12">
        <v>3475</v>
      </c>
      <c r="L161" s="12" t="s">
        <v>226</v>
      </c>
      <c r="M161" s="12">
        <f>Business_Table[[#This Row],[Sales_Amount]]-Business_Table[[#This Row],[Cost_Amount]]</f>
        <v>1288</v>
      </c>
      <c r="N161" s="13">
        <f>Business_Table[[#This Row],[Profit]]/Business_Table[[#This Row],[Sales_Amount]]</f>
        <v>0.27041780390510184</v>
      </c>
    </row>
    <row r="162" spans="1:14" x14ac:dyDescent="0.3">
      <c r="A162" s="10" t="s">
        <v>172</v>
      </c>
      <c r="B162" s="11">
        <v>45309</v>
      </c>
      <c r="C162" s="12" t="s">
        <v>195</v>
      </c>
      <c r="D162" s="12" t="s">
        <v>205</v>
      </c>
      <c r="E162" s="12" t="s">
        <v>208</v>
      </c>
      <c r="F162" s="12" t="s">
        <v>210</v>
      </c>
      <c r="G162" s="12" t="s">
        <v>212</v>
      </c>
      <c r="H162" s="12" t="s">
        <v>215</v>
      </c>
      <c r="I162" s="12">
        <v>2</v>
      </c>
      <c r="J162" s="12">
        <v>9376</v>
      </c>
      <c r="K162" s="12">
        <v>7441</v>
      </c>
      <c r="L162" s="12" t="s">
        <v>225</v>
      </c>
      <c r="M162" s="12">
        <f>Business_Table[[#This Row],[Sales_Amount]]-Business_Table[[#This Row],[Cost_Amount]]</f>
        <v>1935</v>
      </c>
      <c r="N162" s="13">
        <f>Business_Table[[#This Row],[Profit]]/Business_Table[[#This Row],[Sales_Amount]]</f>
        <v>0.20637798634812288</v>
      </c>
    </row>
    <row r="163" spans="1:14" x14ac:dyDescent="0.3">
      <c r="A163" s="10" t="s">
        <v>173</v>
      </c>
      <c r="B163" s="11">
        <v>45383</v>
      </c>
      <c r="C163" s="12" t="s">
        <v>192</v>
      </c>
      <c r="D163" s="12" t="s">
        <v>197</v>
      </c>
      <c r="E163" s="12" t="s">
        <v>209</v>
      </c>
      <c r="F163" s="12" t="s">
        <v>211</v>
      </c>
      <c r="G163" s="12" t="s">
        <v>214</v>
      </c>
      <c r="H163" s="12" t="s">
        <v>221</v>
      </c>
      <c r="I163" s="12">
        <v>6</v>
      </c>
      <c r="J163" s="12">
        <v>4955</v>
      </c>
      <c r="K163" s="12">
        <v>3650</v>
      </c>
      <c r="L163" s="12" t="s">
        <v>224</v>
      </c>
      <c r="M163" s="12">
        <f>Business_Table[[#This Row],[Sales_Amount]]-Business_Table[[#This Row],[Cost_Amount]]</f>
        <v>1305</v>
      </c>
      <c r="N163" s="13">
        <f>Business_Table[[#This Row],[Profit]]/Business_Table[[#This Row],[Sales_Amount]]</f>
        <v>0.26337033299697277</v>
      </c>
    </row>
    <row r="164" spans="1:14" x14ac:dyDescent="0.3">
      <c r="A164" s="10" t="s">
        <v>174</v>
      </c>
      <c r="B164" s="11">
        <v>45456</v>
      </c>
      <c r="C164" s="12" t="s">
        <v>193</v>
      </c>
      <c r="D164" s="12" t="s">
        <v>199</v>
      </c>
      <c r="E164" s="12" t="s">
        <v>209</v>
      </c>
      <c r="F164" s="12" t="s">
        <v>210</v>
      </c>
      <c r="G164" s="12" t="s">
        <v>212</v>
      </c>
      <c r="H164" s="12" t="s">
        <v>216</v>
      </c>
      <c r="I164" s="12">
        <v>6</v>
      </c>
      <c r="J164" s="12">
        <v>9745</v>
      </c>
      <c r="K164" s="12">
        <v>6184</v>
      </c>
      <c r="L164" s="12" t="s">
        <v>226</v>
      </c>
      <c r="M164" s="12">
        <f>Business_Table[[#This Row],[Sales_Amount]]-Business_Table[[#This Row],[Cost_Amount]]</f>
        <v>3561</v>
      </c>
      <c r="N164" s="13">
        <f>Business_Table[[#This Row],[Profit]]/Business_Table[[#This Row],[Sales_Amount]]</f>
        <v>0.36541816316059517</v>
      </c>
    </row>
    <row r="165" spans="1:14" x14ac:dyDescent="0.3">
      <c r="A165" s="10" t="s">
        <v>175</v>
      </c>
      <c r="B165" s="11">
        <v>45303</v>
      </c>
      <c r="C165" s="12" t="s">
        <v>194</v>
      </c>
      <c r="D165" s="12" t="s">
        <v>200</v>
      </c>
      <c r="E165" s="12" t="s">
        <v>208</v>
      </c>
      <c r="F165" s="12" t="s">
        <v>210</v>
      </c>
      <c r="G165" s="12" t="s">
        <v>212</v>
      </c>
      <c r="H165" s="12" t="s">
        <v>215</v>
      </c>
      <c r="I165" s="12">
        <v>8</v>
      </c>
      <c r="J165" s="12">
        <v>1405</v>
      </c>
      <c r="K165" s="12">
        <v>875</v>
      </c>
      <c r="L165" s="12" t="s">
        <v>228</v>
      </c>
      <c r="M165" s="12">
        <f>Business_Table[[#This Row],[Sales_Amount]]-Business_Table[[#This Row],[Cost_Amount]]</f>
        <v>530</v>
      </c>
      <c r="N165" s="13">
        <f>Business_Table[[#This Row],[Profit]]/Business_Table[[#This Row],[Sales_Amount]]</f>
        <v>0.37722419928825623</v>
      </c>
    </row>
    <row r="166" spans="1:14" x14ac:dyDescent="0.3">
      <c r="A166" s="10" t="s">
        <v>176</v>
      </c>
      <c r="B166" s="11">
        <v>45340</v>
      </c>
      <c r="C166" s="12" t="s">
        <v>195</v>
      </c>
      <c r="D166" s="12" t="s">
        <v>206</v>
      </c>
      <c r="E166" s="12" t="s">
        <v>209</v>
      </c>
      <c r="F166" s="12" t="s">
        <v>211</v>
      </c>
      <c r="G166" s="12" t="s">
        <v>214</v>
      </c>
      <c r="H166" s="12" t="s">
        <v>221</v>
      </c>
      <c r="I166" s="12">
        <v>5</v>
      </c>
      <c r="J166" s="12">
        <v>1399</v>
      </c>
      <c r="K166" s="12">
        <v>1032</v>
      </c>
      <c r="L166" s="12" t="s">
        <v>228</v>
      </c>
      <c r="M166" s="12">
        <f>Business_Table[[#This Row],[Sales_Amount]]-Business_Table[[#This Row],[Cost_Amount]]</f>
        <v>367</v>
      </c>
      <c r="N166" s="13">
        <f>Business_Table[[#This Row],[Profit]]/Business_Table[[#This Row],[Sales_Amount]]</f>
        <v>0.26233023588277343</v>
      </c>
    </row>
    <row r="167" spans="1:14" x14ac:dyDescent="0.3">
      <c r="A167" s="10" t="s">
        <v>177</v>
      </c>
      <c r="B167" s="11">
        <v>45390</v>
      </c>
      <c r="C167" s="12" t="s">
        <v>193</v>
      </c>
      <c r="D167" s="12" t="s">
        <v>198</v>
      </c>
      <c r="E167" s="12" t="s">
        <v>208</v>
      </c>
      <c r="F167" s="12" t="s">
        <v>210</v>
      </c>
      <c r="G167" s="12" t="s">
        <v>212</v>
      </c>
      <c r="H167" s="12" t="s">
        <v>219</v>
      </c>
      <c r="I167" s="12">
        <v>7</v>
      </c>
      <c r="J167" s="12">
        <v>7353</v>
      </c>
      <c r="K167" s="12">
        <v>5410</v>
      </c>
      <c r="L167" s="12" t="s">
        <v>225</v>
      </c>
      <c r="M167" s="12">
        <f>Business_Table[[#This Row],[Sales_Amount]]-Business_Table[[#This Row],[Cost_Amount]]</f>
        <v>1943</v>
      </c>
      <c r="N167" s="13">
        <f>Business_Table[[#This Row],[Profit]]/Business_Table[[#This Row],[Sales_Amount]]</f>
        <v>0.26424588603291171</v>
      </c>
    </row>
    <row r="168" spans="1:14" x14ac:dyDescent="0.3">
      <c r="A168" s="10" t="s">
        <v>178</v>
      </c>
      <c r="B168" s="11">
        <v>45402</v>
      </c>
      <c r="C168" s="12" t="s">
        <v>193</v>
      </c>
      <c r="D168" s="12" t="s">
        <v>201</v>
      </c>
      <c r="E168" s="12" t="s">
        <v>208</v>
      </c>
      <c r="F168" s="12" t="s">
        <v>210</v>
      </c>
      <c r="G168" s="12" t="s">
        <v>214</v>
      </c>
      <c r="H168" s="12" t="s">
        <v>221</v>
      </c>
      <c r="I168" s="12">
        <v>2</v>
      </c>
      <c r="J168" s="12">
        <v>12712</v>
      </c>
      <c r="K168" s="12">
        <v>8340</v>
      </c>
      <c r="L168" s="12" t="s">
        <v>228</v>
      </c>
      <c r="M168" s="12">
        <f>Business_Table[[#This Row],[Sales_Amount]]-Business_Table[[#This Row],[Cost_Amount]]</f>
        <v>4372</v>
      </c>
      <c r="N168" s="13">
        <f>Business_Table[[#This Row],[Profit]]/Business_Table[[#This Row],[Sales_Amount]]</f>
        <v>0.34392699811202015</v>
      </c>
    </row>
    <row r="169" spans="1:14" x14ac:dyDescent="0.3">
      <c r="A169" s="10" t="s">
        <v>179</v>
      </c>
      <c r="B169" s="11">
        <v>45401</v>
      </c>
      <c r="C169" s="12" t="s">
        <v>192</v>
      </c>
      <c r="D169" s="12" t="s">
        <v>197</v>
      </c>
      <c r="E169" s="12" t="s">
        <v>209</v>
      </c>
      <c r="F169" s="12" t="s">
        <v>210</v>
      </c>
      <c r="G169" s="12" t="s">
        <v>212</v>
      </c>
      <c r="H169" s="12" t="s">
        <v>219</v>
      </c>
      <c r="I169" s="12">
        <v>5</v>
      </c>
      <c r="J169" s="12">
        <v>5821</v>
      </c>
      <c r="K169" s="12">
        <v>3850</v>
      </c>
      <c r="L169" s="12" t="s">
        <v>225</v>
      </c>
      <c r="M169" s="12">
        <f>Business_Table[[#This Row],[Sales_Amount]]-Business_Table[[#This Row],[Cost_Amount]]</f>
        <v>1971</v>
      </c>
      <c r="N169" s="13">
        <f>Business_Table[[#This Row],[Profit]]/Business_Table[[#This Row],[Sales_Amount]]</f>
        <v>0.33860161484281054</v>
      </c>
    </row>
    <row r="170" spans="1:14" x14ac:dyDescent="0.3">
      <c r="A170" s="10" t="s">
        <v>180</v>
      </c>
      <c r="B170" s="11">
        <v>45306</v>
      </c>
      <c r="C170" s="12" t="s">
        <v>192</v>
      </c>
      <c r="D170" s="12" t="s">
        <v>197</v>
      </c>
      <c r="E170" s="12" t="s">
        <v>209</v>
      </c>
      <c r="F170" s="12" t="s">
        <v>210</v>
      </c>
      <c r="G170" s="12" t="s">
        <v>214</v>
      </c>
      <c r="H170" s="12" t="s">
        <v>221</v>
      </c>
      <c r="I170" s="12">
        <v>10</v>
      </c>
      <c r="J170" s="12">
        <v>7926</v>
      </c>
      <c r="K170" s="12">
        <v>4903</v>
      </c>
      <c r="L170" s="12" t="s">
        <v>227</v>
      </c>
      <c r="M170" s="12">
        <f>Business_Table[[#This Row],[Sales_Amount]]-Business_Table[[#This Row],[Cost_Amount]]</f>
        <v>3023</v>
      </c>
      <c r="N170" s="13">
        <f>Business_Table[[#This Row],[Profit]]/Business_Table[[#This Row],[Sales_Amount]]</f>
        <v>0.38140297754226599</v>
      </c>
    </row>
    <row r="171" spans="1:14" x14ac:dyDescent="0.3">
      <c r="A171" s="10" t="s">
        <v>181</v>
      </c>
      <c r="B171" s="11">
        <v>45300</v>
      </c>
      <c r="C171" s="12" t="s">
        <v>194</v>
      </c>
      <c r="D171" s="12" t="s">
        <v>200</v>
      </c>
      <c r="E171" s="12" t="s">
        <v>208</v>
      </c>
      <c r="F171" s="12" t="s">
        <v>211</v>
      </c>
      <c r="G171" s="12" t="s">
        <v>212</v>
      </c>
      <c r="H171" s="12" t="s">
        <v>216</v>
      </c>
      <c r="I171" s="12">
        <v>10</v>
      </c>
      <c r="J171" s="12">
        <v>11909</v>
      </c>
      <c r="K171" s="12">
        <v>8876</v>
      </c>
      <c r="L171" s="12" t="s">
        <v>228</v>
      </c>
      <c r="M171" s="12">
        <f>Business_Table[[#This Row],[Sales_Amount]]-Business_Table[[#This Row],[Cost_Amount]]</f>
        <v>3033</v>
      </c>
      <c r="N171" s="13">
        <f>Business_Table[[#This Row],[Profit]]/Business_Table[[#This Row],[Sales_Amount]]</f>
        <v>0.25468133344529348</v>
      </c>
    </row>
    <row r="172" spans="1:14" x14ac:dyDescent="0.3">
      <c r="A172" s="10" t="s">
        <v>182</v>
      </c>
      <c r="B172" s="11">
        <v>45407</v>
      </c>
      <c r="C172" s="12" t="s">
        <v>193</v>
      </c>
      <c r="D172" s="12" t="s">
        <v>198</v>
      </c>
      <c r="E172" s="12" t="s">
        <v>209</v>
      </c>
      <c r="F172" s="12" t="s">
        <v>210</v>
      </c>
      <c r="G172" s="12" t="s">
        <v>213</v>
      </c>
      <c r="H172" s="12" t="s">
        <v>220</v>
      </c>
      <c r="I172" s="12">
        <v>1</v>
      </c>
      <c r="J172" s="12">
        <v>10713</v>
      </c>
      <c r="K172" s="12">
        <v>6303</v>
      </c>
      <c r="L172" s="12" t="s">
        <v>224</v>
      </c>
      <c r="M172" s="12">
        <f>Business_Table[[#This Row],[Sales_Amount]]-Business_Table[[#This Row],[Cost_Amount]]</f>
        <v>4410</v>
      </c>
      <c r="N172" s="13">
        <f>Business_Table[[#This Row],[Profit]]/Business_Table[[#This Row],[Sales_Amount]]</f>
        <v>0.41164939792775135</v>
      </c>
    </row>
    <row r="173" spans="1:14" x14ac:dyDescent="0.3">
      <c r="A173" s="10" t="s">
        <v>183</v>
      </c>
      <c r="B173" s="11">
        <v>45355</v>
      </c>
      <c r="C173" s="12" t="s">
        <v>194</v>
      </c>
      <c r="D173" s="12" t="s">
        <v>200</v>
      </c>
      <c r="E173" s="12" t="s">
        <v>208</v>
      </c>
      <c r="F173" s="12" t="s">
        <v>211</v>
      </c>
      <c r="G173" s="12" t="s">
        <v>214</v>
      </c>
      <c r="H173" s="12" t="s">
        <v>221</v>
      </c>
      <c r="I173" s="12">
        <v>7</v>
      </c>
      <c r="J173" s="12">
        <v>5950</v>
      </c>
      <c r="K173" s="12">
        <v>4238</v>
      </c>
      <c r="L173" s="12" t="s">
        <v>225</v>
      </c>
      <c r="M173" s="12">
        <f>Business_Table[[#This Row],[Sales_Amount]]-Business_Table[[#This Row],[Cost_Amount]]</f>
        <v>1712</v>
      </c>
      <c r="N173" s="13">
        <f>Business_Table[[#This Row],[Profit]]/Business_Table[[#This Row],[Sales_Amount]]</f>
        <v>0.28773109243697481</v>
      </c>
    </row>
    <row r="174" spans="1:14" x14ac:dyDescent="0.3">
      <c r="A174" s="10" t="s">
        <v>184</v>
      </c>
      <c r="B174" s="11">
        <v>45406</v>
      </c>
      <c r="C174" s="12" t="s">
        <v>195</v>
      </c>
      <c r="D174" s="12" t="s">
        <v>202</v>
      </c>
      <c r="E174" s="12" t="s">
        <v>209</v>
      </c>
      <c r="F174" s="12" t="s">
        <v>210</v>
      </c>
      <c r="G174" s="12" t="s">
        <v>214</v>
      </c>
      <c r="H174" s="12" t="s">
        <v>223</v>
      </c>
      <c r="I174" s="12">
        <v>5</v>
      </c>
      <c r="J174" s="12">
        <v>13497</v>
      </c>
      <c r="K174" s="12">
        <v>8301</v>
      </c>
      <c r="L174" s="12" t="s">
        <v>226</v>
      </c>
      <c r="M174" s="12">
        <f>Business_Table[[#This Row],[Sales_Amount]]-Business_Table[[#This Row],[Cost_Amount]]</f>
        <v>5196</v>
      </c>
      <c r="N174" s="13">
        <f>Business_Table[[#This Row],[Profit]]/Business_Table[[#This Row],[Sales_Amount]]</f>
        <v>0.38497443876416981</v>
      </c>
    </row>
    <row r="175" spans="1:14" x14ac:dyDescent="0.3">
      <c r="A175" s="10" t="s">
        <v>185</v>
      </c>
      <c r="B175" s="11">
        <v>45405</v>
      </c>
      <c r="C175" s="12" t="s">
        <v>192</v>
      </c>
      <c r="D175" s="12" t="s">
        <v>197</v>
      </c>
      <c r="E175" s="12" t="s">
        <v>209</v>
      </c>
      <c r="F175" s="12" t="s">
        <v>210</v>
      </c>
      <c r="G175" s="12" t="s">
        <v>212</v>
      </c>
      <c r="H175" s="12" t="s">
        <v>216</v>
      </c>
      <c r="I175" s="12">
        <v>8</v>
      </c>
      <c r="J175" s="12">
        <v>3628</v>
      </c>
      <c r="K175" s="12">
        <v>2810</v>
      </c>
      <c r="L175" s="12" t="s">
        <v>224</v>
      </c>
      <c r="M175" s="12">
        <f>Business_Table[[#This Row],[Sales_Amount]]-Business_Table[[#This Row],[Cost_Amount]]</f>
        <v>818</v>
      </c>
      <c r="N175" s="13">
        <f>Business_Table[[#This Row],[Profit]]/Business_Table[[#This Row],[Sales_Amount]]</f>
        <v>0.22546857772877618</v>
      </c>
    </row>
    <row r="176" spans="1:14" x14ac:dyDescent="0.3">
      <c r="A176" s="10" t="s">
        <v>186</v>
      </c>
      <c r="B176" s="11">
        <v>45349</v>
      </c>
      <c r="C176" s="12" t="s">
        <v>193</v>
      </c>
      <c r="D176" s="12" t="s">
        <v>199</v>
      </c>
      <c r="E176" s="12" t="s">
        <v>208</v>
      </c>
      <c r="F176" s="12" t="s">
        <v>211</v>
      </c>
      <c r="G176" s="12" t="s">
        <v>213</v>
      </c>
      <c r="H176" s="12" t="s">
        <v>222</v>
      </c>
      <c r="I176" s="12">
        <v>3</v>
      </c>
      <c r="J176" s="12">
        <v>13803</v>
      </c>
      <c r="K176" s="12">
        <v>8839</v>
      </c>
      <c r="L176" s="12" t="s">
        <v>226</v>
      </c>
      <c r="M176" s="12">
        <f>Business_Table[[#This Row],[Sales_Amount]]-Business_Table[[#This Row],[Cost_Amount]]</f>
        <v>4964</v>
      </c>
      <c r="N176" s="13">
        <f>Business_Table[[#This Row],[Profit]]/Business_Table[[#This Row],[Sales_Amount]]</f>
        <v>0.35963196406578279</v>
      </c>
    </row>
    <row r="177" spans="1:14" x14ac:dyDescent="0.3">
      <c r="A177" s="10" t="s">
        <v>187</v>
      </c>
      <c r="B177" s="11">
        <v>45433</v>
      </c>
      <c r="C177" s="12" t="s">
        <v>195</v>
      </c>
      <c r="D177" s="12" t="s">
        <v>202</v>
      </c>
      <c r="E177" s="12" t="s">
        <v>208</v>
      </c>
      <c r="F177" s="12" t="s">
        <v>211</v>
      </c>
      <c r="G177" s="12" t="s">
        <v>212</v>
      </c>
      <c r="H177" s="12" t="s">
        <v>219</v>
      </c>
      <c r="I177" s="12">
        <v>9</v>
      </c>
      <c r="J177" s="12">
        <v>10176</v>
      </c>
      <c r="K177" s="12">
        <v>6535</v>
      </c>
      <c r="L177" s="12" t="s">
        <v>228</v>
      </c>
      <c r="M177" s="12">
        <f>Business_Table[[#This Row],[Sales_Amount]]-Business_Table[[#This Row],[Cost_Amount]]</f>
        <v>3641</v>
      </c>
      <c r="N177" s="13">
        <f>Business_Table[[#This Row],[Profit]]/Business_Table[[#This Row],[Sales_Amount]]</f>
        <v>0.35780267295597484</v>
      </c>
    </row>
    <row r="178" spans="1:14" x14ac:dyDescent="0.3">
      <c r="A178" s="10" t="s">
        <v>188</v>
      </c>
      <c r="B178" s="11">
        <v>45396</v>
      </c>
      <c r="C178" s="12" t="s">
        <v>195</v>
      </c>
      <c r="D178" s="12" t="s">
        <v>205</v>
      </c>
      <c r="E178" s="12" t="s">
        <v>208</v>
      </c>
      <c r="F178" s="12" t="s">
        <v>211</v>
      </c>
      <c r="G178" s="12" t="s">
        <v>214</v>
      </c>
      <c r="H178" s="12" t="s">
        <v>218</v>
      </c>
      <c r="I178" s="12">
        <v>8</v>
      </c>
      <c r="J178" s="12">
        <v>9412</v>
      </c>
      <c r="K178" s="12">
        <v>6143</v>
      </c>
      <c r="L178" s="12" t="s">
        <v>228</v>
      </c>
      <c r="M178" s="12">
        <f>Business_Table[[#This Row],[Sales_Amount]]-Business_Table[[#This Row],[Cost_Amount]]</f>
        <v>3269</v>
      </c>
      <c r="N178" s="13">
        <f>Business_Table[[#This Row],[Profit]]/Business_Table[[#This Row],[Sales_Amount]]</f>
        <v>0.34732256693582658</v>
      </c>
    </row>
    <row r="179" spans="1:14" x14ac:dyDescent="0.3">
      <c r="A179" s="10" t="s">
        <v>189</v>
      </c>
      <c r="B179" s="11">
        <v>45433</v>
      </c>
      <c r="C179" s="12" t="s">
        <v>192</v>
      </c>
      <c r="D179" s="12" t="s">
        <v>196</v>
      </c>
      <c r="E179" s="12" t="s">
        <v>208</v>
      </c>
      <c r="F179" s="12" t="s">
        <v>211</v>
      </c>
      <c r="G179" s="12" t="s">
        <v>213</v>
      </c>
      <c r="H179" s="12" t="s">
        <v>217</v>
      </c>
      <c r="I179" s="12">
        <v>9</v>
      </c>
      <c r="J179" s="12">
        <v>6444</v>
      </c>
      <c r="K179" s="12">
        <v>3750</v>
      </c>
      <c r="L179" s="12" t="s">
        <v>225</v>
      </c>
      <c r="M179" s="12">
        <f>Business_Table[[#This Row],[Sales_Amount]]-Business_Table[[#This Row],[Cost_Amount]]</f>
        <v>2694</v>
      </c>
      <c r="N179" s="13">
        <f>Business_Table[[#This Row],[Profit]]/Business_Table[[#This Row],[Sales_Amount]]</f>
        <v>0.41806331471135938</v>
      </c>
    </row>
    <row r="180" spans="1:14" x14ac:dyDescent="0.3">
      <c r="A180" s="10" t="s">
        <v>190</v>
      </c>
      <c r="B180" s="11">
        <v>45374</v>
      </c>
      <c r="C180" s="12" t="s">
        <v>192</v>
      </c>
      <c r="D180" s="12" t="s">
        <v>196</v>
      </c>
      <c r="E180" s="12" t="s">
        <v>208</v>
      </c>
      <c r="F180" s="12" t="s">
        <v>210</v>
      </c>
      <c r="G180" s="12" t="s">
        <v>212</v>
      </c>
      <c r="H180" s="12" t="s">
        <v>215</v>
      </c>
      <c r="I180" s="12">
        <v>3</v>
      </c>
      <c r="J180" s="12">
        <v>5782</v>
      </c>
      <c r="K180" s="12">
        <v>3418</v>
      </c>
      <c r="L180" s="12" t="s">
        <v>227</v>
      </c>
      <c r="M180" s="12">
        <f>Business_Table[[#This Row],[Sales_Amount]]-Business_Table[[#This Row],[Cost_Amount]]</f>
        <v>2364</v>
      </c>
      <c r="N180" s="13">
        <f>Business_Table[[#This Row],[Profit]]/Business_Table[[#This Row],[Sales_Amount]]</f>
        <v>0.4088550674507091</v>
      </c>
    </row>
    <row r="181" spans="1:14" x14ac:dyDescent="0.3">
      <c r="A181" s="14" t="s">
        <v>191</v>
      </c>
      <c r="B181" s="15">
        <v>45362</v>
      </c>
      <c r="C181" s="16" t="s">
        <v>193</v>
      </c>
      <c r="D181" s="16" t="s">
        <v>199</v>
      </c>
      <c r="E181" s="16" t="s">
        <v>209</v>
      </c>
      <c r="F181" s="16" t="s">
        <v>211</v>
      </c>
      <c r="G181" s="16" t="s">
        <v>212</v>
      </c>
      <c r="H181" s="16" t="s">
        <v>219</v>
      </c>
      <c r="I181" s="16">
        <v>4</v>
      </c>
      <c r="J181" s="16">
        <v>11204</v>
      </c>
      <c r="K181" s="16">
        <v>8840</v>
      </c>
      <c r="L181" s="16" t="s">
        <v>227</v>
      </c>
      <c r="M181" s="16">
        <f>Business_Table[[#This Row],[Sales_Amount]]-Business_Table[[#This Row],[Cost_Amount]]</f>
        <v>2364</v>
      </c>
      <c r="N181" s="17">
        <f>Business_Table[[#This Row],[Profit]]/Business_Table[[#This Row],[Sales_Amount]]</f>
        <v>0.21099607283113173</v>
      </c>
    </row>
    <row r="183" spans="1:14" ht="25.5" thickBot="1" x14ac:dyDescent="0.55000000000000004">
      <c r="H183" s="18"/>
      <c r="I183" s="18"/>
    </row>
    <row r="184" spans="1:14" ht="17.5" x14ac:dyDescent="0.35">
      <c r="H184" s="19" t="s">
        <v>242</v>
      </c>
      <c r="I184" s="20">
        <f>SUM(Business_Table[Sales_Amount])</f>
        <v>1389431</v>
      </c>
    </row>
    <row r="185" spans="1:14" ht="17.5" x14ac:dyDescent="0.35">
      <c r="H185" s="21" t="s">
        <v>243</v>
      </c>
      <c r="I185" s="22">
        <f>SUM(Business_Table[Profit])</f>
        <v>461858</v>
      </c>
    </row>
    <row r="186" spans="1:14" ht="18" thickBot="1" x14ac:dyDescent="0.4">
      <c r="H186" s="23" t="s">
        <v>244</v>
      </c>
      <c r="I186" s="30">
        <f>SUM(Business_Table[Profit Margin %])</f>
        <v>59.402945060016435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1D5D-DB42-4092-8439-F6DA9BA4C2A3}">
  <sheetPr codeName="Sheet2"/>
  <dimension ref="C2:L21"/>
  <sheetViews>
    <sheetView tabSelected="1" topLeftCell="D1" zoomScaleNormal="100" workbookViewId="0">
      <selection activeCell="L8" sqref="L8"/>
    </sheetView>
  </sheetViews>
  <sheetFormatPr defaultRowHeight="14.5" x14ac:dyDescent="0.35"/>
  <cols>
    <col min="1" max="2" width="19.26953125" bestFit="1" customWidth="1"/>
    <col min="3" max="3" width="10.7265625" bestFit="1" customWidth="1"/>
    <col min="4" max="4" width="19.26953125" bestFit="1" customWidth="1"/>
    <col min="5" max="6" width="6.81640625" bestFit="1" customWidth="1"/>
    <col min="7" max="7" width="14.54296875" bestFit="1" customWidth="1"/>
    <col min="8" max="9" width="19.26953125" bestFit="1" customWidth="1"/>
    <col min="10" max="10" width="4.81640625" bestFit="1" customWidth="1"/>
    <col min="11" max="11" width="15.453125" bestFit="1" customWidth="1"/>
    <col min="12" max="12" width="19.26953125" bestFit="1" customWidth="1"/>
    <col min="13" max="124" width="4.81640625" bestFit="1" customWidth="1"/>
    <col min="125" max="181" width="5.81640625" bestFit="1" customWidth="1"/>
    <col min="182" max="182" width="10.7265625" bestFit="1" customWidth="1"/>
  </cols>
  <sheetData>
    <row r="2" spans="3:12" x14ac:dyDescent="0.35">
      <c r="C2" s="2" t="s">
        <v>238</v>
      </c>
      <c r="D2" s="1" t="s">
        <v>231</v>
      </c>
      <c r="G2" s="2" t="s">
        <v>2</v>
      </c>
      <c r="H2" s="1" t="s">
        <v>231</v>
      </c>
    </row>
    <row r="3" spans="3:12" x14ac:dyDescent="0.35">
      <c r="C3" s="3" t="s">
        <v>233</v>
      </c>
      <c r="D3" s="4">
        <v>209043</v>
      </c>
      <c r="G3" s="3" t="s">
        <v>195</v>
      </c>
      <c r="H3" s="4">
        <v>244854</v>
      </c>
    </row>
    <row r="4" spans="3:12" x14ac:dyDescent="0.35">
      <c r="C4" s="3" t="s">
        <v>248</v>
      </c>
      <c r="D4" s="4">
        <v>90467</v>
      </c>
      <c r="G4" s="3" t="s">
        <v>194</v>
      </c>
      <c r="H4" s="4">
        <v>376916</v>
      </c>
    </row>
    <row r="5" spans="3:12" x14ac:dyDescent="0.35">
      <c r="C5" s="3" t="s">
        <v>234</v>
      </c>
      <c r="D5" s="4">
        <v>227297</v>
      </c>
      <c r="G5" s="3" t="s">
        <v>192</v>
      </c>
      <c r="H5" s="4">
        <v>368010</v>
      </c>
    </row>
    <row r="6" spans="3:12" x14ac:dyDescent="0.35">
      <c r="C6" s="3" t="s">
        <v>235</v>
      </c>
      <c r="D6" s="4">
        <v>297819</v>
      </c>
      <c r="G6" s="3" t="s">
        <v>193</v>
      </c>
      <c r="H6" s="4">
        <v>399651</v>
      </c>
    </row>
    <row r="7" spans="3:12" x14ac:dyDescent="0.35">
      <c r="C7" s="3" t="s">
        <v>247</v>
      </c>
      <c r="D7" s="4">
        <v>231708</v>
      </c>
      <c r="G7" s="3" t="s">
        <v>232</v>
      </c>
      <c r="H7" s="4">
        <v>1389431</v>
      </c>
      <c r="L7" t="s">
        <v>231</v>
      </c>
    </row>
    <row r="8" spans="3:12" x14ac:dyDescent="0.35">
      <c r="C8" s="3" t="s">
        <v>236</v>
      </c>
      <c r="D8" s="4">
        <v>333097</v>
      </c>
      <c r="L8" s="26">
        <v>1389431</v>
      </c>
    </row>
    <row r="9" spans="3:12" x14ac:dyDescent="0.35">
      <c r="C9" s="3" t="s">
        <v>232</v>
      </c>
      <c r="D9" s="4">
        <v>1389431</v>
      </c>
      <c r="G9" s="2" t="s">
        <v>239</v>
      </c>
      <c r="H9" s="5" t="s">
        <v>237</v>
      </c>
    </row>
    <row r="10" spans="3:12" x14ac:dyDescent="0.35">
      <c r="G10" s="3" t="s">
        <v>212</v>
      </c>
      <c r="H10" s="4">
        <v>138842</v>
      </c>
    </row>
    <row r="11" spans="3:12" x14ac:dyDescent="0.35">
      <c r="C11" s="2" t="s">
        <v>241</v>
      </c>
      <c r="D11" s="1" t="s">
        <v>231</v>
      </c>
      <c r="G11" s="3" t="s">
        <v>213</v>
      </c>
      <c r="H11" s="4">
        <v>166015</v>
      </c>
    </row>
    <row r="12" spans="3:12" x14ac:dyDescent="0.35">
      <c r="C12" s="3" t="s">
        <v>222</v>
      </c>
      <c r="D12" s="4">
        <v>132345</v>
      </c>
      <c r="G12" s="3" t="s">
        <v>214</v>
      </c>
      <c r="H12" s="4">
        <v>157001</v>
      </c>
    </row>
    <row r="13" spans="3:12" x14ac:dyDescent="0.35">
      <c r="C13" s="3" t="s">
        <v>221</v>
      </c>
      <c r="D13" s="4">
        <v>151438</v>
      </c>
      <c r="G13" s="3" t="s">
        <v>232</v>
      </c>
      <c r="H13" s="4">
        <v>461858</v>
      </c>
    </row>
    <row r="14" spans="3:12" x14ac:dyDescent="0.35">
      <c r="C14" s="3" t="s">
        <v>215</v>
      </c>
      <c r="D14" s="4">
        <v>108204</v>
      </c>
    </row>
    <row r="15" spans="3:12" x14ac:dyDescent="0.35">
      <c r="C15" s="3" t="s">
        <v>218</v>
      </c>
      <c r="D15" s="4">
        <v>188641</v>
      </c>
    </row>
    <row r="16" spans="3:12" x14ac:dyDescent="0.35">
      <c r="C16" s="3" t="s">
        <v>219</v>
      </c>
      <c r="D16" s="4">
        <v>160251</v>
      </c>
      <c r="G16" s="2" t="s">
        <v>240</v>
      </c>
      <c r="H16" s="1" t="s">
        <v>231</v>
      </c>
    </row>
    <row r="17" spans="3:8" x14ac:dyDescent="0.35">
      <c r="C17" s="3" t="s">
        <v>223</v>
      </c>
      <c r="D17" s="4">
        <v>114194</v>
      </c>
      <c r="G17" s="3" t="s">
        <v>209</v>
      </c>
      <c r="H17" s="4">
        <v>673562</v>
      </c>
    </row>
    <row r="18" spans="3:8" x14ac:dyDescent="0.35">
      <c r="C18" s="3" t="s">
        <v>217</v>
      </c>
      <c r="D18" s="4">
        <v>185887</v>
      </c>
      <c r="G18" s="3" t="s">
        <v>208</v>
      </c>
      <c r="H18" s="4">
        <v>715869</v>
      </c>
    </row>
    <row r="19" spans="3:8" x14ac:dyDescent="0.35">
      <c r="C19" s="3" t="s">
        <v>220</v>
      </c>
      <c r="D19" s="4">
        <v>176065</v>
      </c>
      <c r="G19" s="3" t="s">
        <v>232</v>
      </c>
      <c r="H19" s="4">
        <v>1389431</v>
      </c>
    </row>
    <row r="20" spans="3:8" x14ac:dyDescent="0.35">
      <c r="C20" s="3" t="s">
        <v>216</v>
      </c>
      <c r="D20" s="4">
        <v>172406</v>
      </c>
    </row>
    <row r="21" spans="3:8" x14ac:dyDescent="0.35">
      <c r="C21" s="3" t="s">
        <v>232</v>
      </c>
      <c r="D21" s="4">
        <v>1389431</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7FA0-24AA-44D1-8E17-8D5058DA4EB1}">
  <sheetPr codeName="Sheet3"/>
  <dimension ref="E3:I10"/>
  <sheetViews>
    <sheetView showGridLines="0" zoomScaleNormal="100" workbookViewId="0">
      <selection activeCell="E4" sqref="E4"/>
    </sheetView>
  </sheetViews>
  <sheetFormatPr defaultRowHeight="14" x14ac:dyDescent="0.3"/>
  <cols>
    <col min="1" max="4" width="8.7265625" style="9"/>
    <col min="5" max="5" width="19.1796875" style="9" customWidth="1"/>
    <col min="6" max="6" width="8.7265625" style="9"/>
    <col min="7" max="7" width="19.7265625" style="9" customWidth="1"/>
    <col min="8" max="8" width="8.7265625" style="9"/>
    <col min="9" max="9" width="22.90625" style="9" customWidth="1"/>
    <col min="10" max="16384" width="8.7265625" style="9"/>
  </cols>
  <sheetData>
    <row r="3" spans="5:9" ht="28" customHeight="1" thickBot="1" x14ac:dyDescent="0.35">
      <c r="E3" s="24" t="s">
        <v>242</v>
      </c>
      <c r="G3" s="24" t="s">
        <v>245</v>
      </c>
      <c r="I3" s="24" t="s">
        <v>244</v>
      </c>
    </row>
    <row r="4" spans="5:9" ht="30" customHeight="1" x14ac:dyDescent="0.5">
      <c r="E4" s="27">
        <f>GETPIVOTDATA("Sales_Amount",'KPI Piviots'!$E$3)</f>
        <v>1389431</v>
      </c>
      <c r="G4" s="25">
        <f>GETPIVOTDATA("Profit",'KPI Piviots'!$G$3)</f>
        <v>461858</v>
      </c>
      <c r="I4" s="31">
        <f>GETPIVOTDATA("Profit Margin %",'KPI Piviots'!$I$3)</f>
        <v>59.402945060016435</v>
      </c>
    </row>
    <row r="10" spans="5:9" ht="13.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8F72-99DB-4951-8DEE-6BE8B2559628}">
  <dimension ref="A1:I4"/>
  <sheetViews>
    <sheetView workbookViewId="0">
      <selection activeCell="E4" sqref="E4"/>
    </sheetView>
  </sheetViews>
  <sheetFormatPr defaultRowHeight="14.5" x14ac:dyDescent="0.35"/>
  <cols>
    <col min="1" max="1" width="20.26953125" bestFit="1" customWidth="1"/>
    <col min="5" max="5" width="19.26953125" bestFit="1" customWidth="1"/>
    <col min="7" max="7" width="11.81640625" bestFit="1" customWidth="1"/>
    <col min="9" max="9" width="20.26953125" bestFit="1" customWidth="1"/>
  </cols>
  <sheetData>
    <row r="1" spans="1:9" x14ac:dyDescent="0.35">
      <c r="A1" t="s">
        <v>246</v>
      </c>
    </row>
    <row r="2" spans="1:9" x14ac:dyDescent="0.35">
      <c r="A2" s="26">
        <v>59.402945060016435</v>
      </c>
    </row>
    <row r="3" spans="1:9" x14ac:dyDescent="0.35">
      <c r="E3" s="32" t="s">
        <v>231</v>
      </c>
      <c r="G3" s="32" t="s">
        <v>237</v>
      </c>
      <c r="I3" s="26" t="s">
        <v>246</v>
      </c>
    </row>
    <row r="4" spans="1:9" x14ac:dyDescent="0.35">
      <c r="E4" s="28">
        <v>1389431</v>
      </c>
      <c r="G4" s="28">
        <v>461858</v>
      </c>
      <c r="I4" s="29">
        <v>59.402945060016435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Data Set</vt:lpstr>
      <vt:lpstr>Pivot Analysis</vt:lpstr>
      <vt:lpstr>Dashboard</vt:lpstr>
      <vt:lpstr>KPI Piviots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2026-02-05T06:16:12Z</dcterms:created>
  <dcterms:modified xsi:type="dcterms:W3CDTF">2026-02-06T05:02:26Z</dcterms:modified>
</cp:coreProperties>
</file>